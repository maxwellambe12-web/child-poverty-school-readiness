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c2984e2feafcdc7/Desktop/data projects/Health indicator project/"/>
    </mc:Choice>
  </mc:AlternateContent>
  <xr:revisionPtr revIDLastSave="718" documentId="13_ncr:1_{C91ED67B-47F3-46DA-845A-CB1A0A5DE3F2}" xr6:coauthVersionLast="47" xr6:coauthVersionMax="47" xr10:uidLastSave="{4F55B900-FEC3-4BEE-A68D-0C3B64C40B25}"/>
  <bookViews>
    <workbookView xWindow="-110" yWindow="-110" windowWidth="22780" windowHeight="15260" tabRatio="916" xr2:uid="{91FAF2D7-1267-47B9-BECB-BBC61E5AC075}"/>
  </bookViews>
  <sheets>
    <sheet name="Project_Brief" sheetId="8" r:id="rId1"/>
    <sheet name="Analysis_sheet" sheetId="18" r:id="rId2"/>
    <sheet name="c_cheshire_vs_england_B02a" sheetId="21" r:id="rId3"/>
    <sheet name="C_area_comparison_B02a" sheetId="20" r:id="rId4"/>
    <sheet name="C_area_comparison_B01b" sheetId="19" r:id="rId5"/>
    <sheet name="C_cheshire_vs_England_B01b" sheetId="17" r:id="rId6"/>
  </sheets>
  <definedNames>
    <definedName name="_xlcn.WorksheetConnection_C_Area_Comparison_B01bA1M1551" hidden="1">C_area_comparison_B01b!$A$1:$M$155</definedName>
    <definedName name="_xlcn.WorksheetConnection_C_area_comparison_B01bFF1" hidden="1">C_area_comparison_B01b!$F:$F</definedName>
  </definedNames>
  <calcPr calcId="191028"/>
  <pivotCaches>
    <pivotCache cacheId="0" r:id="rId7"/>
    <pivotCache cacheId="1"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_Area_Comparison_B01b!$A$1:$M$155"/>
          <x15:modelTable id="Range 1" name="Range 1" connection="WorksheetConnection_C_area_comparison_B01b!$F:$F"/>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1" i="18" l="1"/>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52" i="18"/>
  <c r="D253" i="18"/>
  <c r="D254" i="18"/>
  <c r="D255" i="18"/>
  <c r="D256" i="18"/>
  <c r="D257" i="18"/>
  <c r="D258" i="18"/>
  <c r="D259" i="18"/>
  <c r="D260" i="18"/>
  <c r="D261" i="18"/>
  <c r="D262" i="18"/>
  <c r="D263" i="18"/>
  <c r="D264" i="18"/>
  <c r="D265" i="18"/>
  <c r="D266" i="18"/>
  <c r="D267" i="18"/>
  <c r="D268" i="18"/>
  <c r="D269" i="18"/>
  <c r="D270" i="18"/>
  <c r="D271" i="18"/>
  <c r="D272" i="18"/>
  <c r="D273" i="18"/>
  <c r="D274" i="18"/>
  <c r="D275" i="18"/>
  <c r="D276" i="18"/>
  <c r="D277" i="18"/>
  <c r="D278" i="18"/>
  <c r="D279" i="18"/>
  <c r="D280" i="18"/>
  <c r="D281" i="18"/>
  <c r="D282" i="18"/>
  <c r="D283" i="18"/>
  <c r="D284" i="18"/>
  <c r="D285" i="18"/>
  <c r="D286" i="18"/>
  <c r="D287" i="18"/>
  <c r="D288" i="18"/>
  <c r="D289" i="18"/>
  <c r="D290" i="18"/>
  <c r="D291" i="18"/>
  <c r="D292" i="18"/>
  <c r="D293" i="18"/>
  <c r="D294" i="18"/>
  <c r="D295" i="18"/>
  <c r="D296" i="18"/>
  <c r="D297" i="18"/>
  <c r="D298" i="18"/>
  <c r="D299" i="18"/>
  <c r="D300" i="18"/>
  <c r="D301" i="18"/>
  <c r="D302" i="18"/>
  <c r="D303" i="18"/>
  <c r="D304" i="18"/>
  <c r="D305" i="18"/>
  <c r="D306" i="18"/>
  <c r="D307" i="18"/>
  <c r="D308" i="18"/>
  <c r="D309" i="18"/>
  <c r="D310" i="18"/>
  <c r="D311" i="18"/>
  <c r="D312" i="18"/>
  <c r="D313" i="18"/>
  <c r="D314" i="18"/>
  <c r="D315" i="18"/>
  <c r="D316" i="18"/>
  <c r="D317" i="18"/>
  <c r="D318" i="18"/>
  <c r="D319" i="18"/>
  <c r="D320" i="18"/>
  <c r="D321" i="18"/>
  <c r="D322" i="18"/>
  <c r="D323" i="18"/>
  <c r="D324" i="18"/>
  <c r="D325" i="18"/>
  <c r="D326" i="18"/>
  <c r="D327" i="18"/>
  <c r="D328" i="18"/>
  <c r="D329" i="18"/>
  <c r="D330" i="18"/>
  <c r="D331" i="18"/>
  <c r="D332" i="18"/>
  <c r="D333" i="18"/>
  <c r="D334" i="18"/>
  <c r="D335" i="18"/>
  <c r="D336" i="18"/>
  <c r="D337" i="18"/>
  <c r="D338" i="18"/>
  <c r="D339" i="18"/>
  <c r="D340" i="18"/>
  <c r="D341" i="18"/>
  <c r="D342" i="18"/>
  <c r="D343" i="18"/>
  <c r="D344" i="18"/>
  <c r="D345" i="18"/>
  <c r="D346" i="18"/>
  <c r="D347" i="18"/>
  <c r="D348" i="18"/>
  <c r="D349" i="18"/>
  <c r="D350" i="18"/>
  <c r="D351" i="18"/>
  <c r="D352" i="18"/>
  <c r="D353" i="18"/>
  <c r="C200" i="18" a="1"/>
  <c r="C200" i="18" s="1"/>
  <c r="B200" i="18" a="1"/>
  <c r="B200" i="18" s="1"/>
  <c r="D200" i="18" s="1"/>
  <c r="F38" i="18"/>
  <c r="E38" i="18"/>
  <c r="D8" i="18"/>
  <c r="F8" i="18" s="1"/>
  <c r="D10" i="18"/>
  <c r="D9" i="18"/>
  <c r="D7" i="18"/>
  <c r="C10" i="18"/>
  <c r="C9" i="18"/>
  <c r="C8" i="18"/>
  <c r="C7" i="18"/>
  <c r="G7" i="18" s="1"/>
  <c r="G8" i="18" l="1"/>
  <c r="F10" i="18"/>
  <c r="E8" i="18"/>
  <c r="E9" i="18"/>
  <c r="G10" i="18"/>
  <c r="E10" i="18"/>
  <c r="G9" i="18"/>
  <c r="F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BE04F8-32D1-44B3-8452-E262C6F044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9AF575-01D9-42C2-B17C-D339226E9864}" name="WorksheetConnection_C_Area_Comparison_B01b!$A$1:$M$155" type="102" refreshedVersion="8" minRefreshableVersion="5">
    <extLst>
      <ext xmlns:x15="http://schemas.microsoft.com/office/spreadsheetml/2010/11/main" uri="{DE250136-89BD-433C-8126-D09CA5730AF9}">
        <x15:connection id="Range" autoDelete="1">
          <x15:rangePr sourceName="_xlcn.WorksheetConnection_C_Area_Comparison_B01bA1M1551"/>
        </x15:connection>
      </ext>
    </extLst>
  </connection>
  <connection id="3" xr16:uid="{A640FAB2-7657-4113-941D-0DD06D0E5BF6}" name="WorksheetConnection_C_area_comparison_B01b!$F:$F" type="102" refreshedVersion="8" minRefreshableVersion="5">
    <extLst>
      <ext xmlns:x15="http://schemas.microsoft.com/office/spreadsheetml/2010/11/main" uri="{DE250136-89BD-433C-8126-D09CA5730AF9}">
        <x15:connection id="Range 1" autoDelete="1">
          <x15:rangePr sourceName="_xlcn.WorksheetConnection_C_area_comparison_B01bFF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<sst xmlns="http://schemas.openxmlformats.org/spreadsheetml/2006/main" count="2706" uniqueCount="233">
  <si>
    <t>Indicator ID</t>
  </si>
  <si>
    <t>Indicator Name</t>
  </si>
  <si>
    <t>Parent Code</t>
  </si>
  <si>
    <t>Parent Name</t>
  </si>
  <si>
    <t>AreaName</t>
  </si>
  <si>
    <t>Area Type</t>
  </si>
  <si>
    <t>Sex</t>
  </si>
  <si>
    <t>Age</t>
  </si>
  <si>
    <t>Time period</t>
  </si>
  <si>
    <t>Value</t>
  </si>
  <si>
    <t>Lower CI 95.0 limit</t>
  </si>
  <si>
    <t>Upper CI 95.0 limit</t>
  </si>
  <si>
    <t>Lower CI 99.8 limit</t>
  </si>
  <si>
    <t>Upper CI 99.8 limit</t>
  </si>
  <si>
    <t>Count</t>
  </si>
  <si>
    <t>Denominator</t>
  </si>
  <si>
    <t>Recent Trend</t>
  </si>
  <si>
    <t>Compared to England value or percentiles</t>
  </si>
  <si>
    <t>Compared to parent value or percentiles</t>
  </si>
  <si>
    <t>Time period Sortable</t>
  </si>
  <si>
    <t>Time period range</t>
  </si>
  <si>
    <t>B01b - Children in absolute low income families (under 16s)</t>
  </si>
  <si>
    <t>E92000001</t>
  </si>
  <si>
    <t>England</t>
  </si>
  <si>
    <t>Persons</t>
  </si>
  <si>
    <t>&lt;16 yrs</t>
  </si>
  <si>
    <t>2021/22</t>
  </si>
  <si>
    <t>1y</t>
  </si>
  <si>
    <t>Cheshire West and Chester</t>
  </si>
  <si>
    <t>Upper tier local authorities (post 4/23)</t>
  </si>
  <si>
    <t>2022/23</t>
  </si>
  <si>
    <t>2023/24</t>
  </si>
  <si>
    <t>2024/25</t>
  </si>
  <si>
    <t>Cannot be calculated</t>
  </si>
  <si>
    <t>Wirral</t>
  </si>
  <si>
    <t>Similar</t>
  </si>
  <si>
    <t>Not compared</t>
  </si>
  <si>
    <t>Nottinghamshire</t>
  </si>
  <si>
    <t>Staffordshire</t>
  </si>
  <si>
    <t>Better</t>
  </si>
  <si>
    <t>Worcestershire</t>
  </si>
  <si>
    <t>East Sussex</t>
  </si>
  <si>
    <t>Kent</t>
  </si>
  <si>
    <t>Warrington</t>
  </si>
  <si>
    <t>Gloucestershire</t>
  </si>
  <si>
    <t>Wiltshire</t>
  </si>
  <si>
    <t>Cheshire East</t>
  </si>
  <si>
    <t>West Sussex</t>
  </si>
  <si>
    <t>Central Bedfordshire</t>
  </si>
  <si>
    <t>Hampshire</t>
  </si>
  <si>
    <t>South Gloucestershire</t>
  </si>
  <si>
    <t>West Berkshire</t>
  </si>
  <si>
    <t>Stockton-on-Tees</t>
  </si>
  <si>
    <t>Redcar and Cleveland</t>
  </si>
  <si>
    <t>Middlesbrough</t>
  </si>
  <si>
    <t>Hartlepool</t>
  </si>
  <si>
    <t>Wakefield</t>
  </si>
  <si>
    <t>Leeds</t>
  </si>
  <si>
    <t>Kirklees</t>
  </si>
  <si>
    <t>Calderdale</t>
  </si>
  <si>
    <t>Bradford</t>
  </si>
  <si>
    <t>North Lincolnshire</t>
  </si>
  <si>
    <t>North East Lincolnshire</t>
  </si>
  <si>
    <t>Kingston upon Hull</t>
  </si>
  <si>
    <t>East Riding of Yorkshire</t>
  </si>
  <si>
    <t>Wolverhampton</t>
  </si>
  <si>
    <t>Walsall</t>
  </si>
  <si>
    <t>Solihull</t>
  </si>
  <si>
    <t>Sandwell</t>
  </si>
  <si>
    <t>Dudley</t>
  </si>
  <si>
    <t>Coventry</t>
  </si>
  <si>
    <t>Birmingham</t>
  </si>
  <si>
    <t>Derbyshire</t>
  </si>
  <si>
    <t>Derby</t>
  </si>
  <si>
    <t>Darlington</t>
  </si>
  <si>
    <t>County Durham</t>
  </si>
  <si>
    <t>Sunderland</t>
  </si>
  <si>
    <t>South Tyneside</t>
  </si>
  <si>
    <t>Northumberland</t>
  </si>
  <si>
    <t>North Tyneside</t>
  </si>
  <si>
    <t>Newcastle upon Tyne</t>
  </si>
  <si>
    <t>Gateshead</t>
  </si>
  <si>
    <t>Medway</t>
  </si>
  <si>
    <t>Sheffield</t>
  </si>
  <si>
    <t>Rotherham</t>
  </si>
  <si>
    <t>Doncaster</t>
  </si>
  <si>
    <t>Barnsley</t>
  </si>
  <si>
    <t>Dorset</t>
  </si>
  <si>
    <t>Bournemouth, Christchurch and Poole</t>
  </si>
  <si>
    <t>Lancashire</t>
  </si>
  <si>
    <t>Blackpool</t>
  </si>
  <si>
    <t>Blackburn with Darwen</t>
  </si>
  <si>
    <t>Wigan</t>
  </si>
  <si>
    <t>Trafford</t>
  </si>
  <si>
    <t>Tameside</t>
  </si>
  <si>
    <t>Stockport</t>
  </si>
  <si>
    <t>Salford</t>
  </si>
  <si>
    <t>Rochdale</t>
  </si>
  <si>
    <t>Oldham</t>
  </si>
  <si>
    <t>Manchester</t>
  </si>
  <si>
    <t>Bury</t>
  </si>
  <si>
    <t>Bolton</t>
  </si>
  <si>
    <t>Halton</t>
  </si>
  <si>
    <t>St. Helens</t>
  </si>
  <si>
    <t>Sefton</t>
  </si>
  <si>
    <t>Liverpool</t>
  </si>
  <si>
    <t>Knowsley</t>
  </si>
  <si>
    <t>Wokingham</t>
  </si>
  <si>
    <t>Windsor and Maidenhead</t>
  </si>
  <si>
    <t>Slough</t>
  </si>
  <si>
    <t>Reading</t>
  </si>
  <si>
    <t>Oxfordshire</t>
  </si>
  <si>
    <t>Milton Keynes</t>
  </si>
  <si>
    <t>Buckinghamshire UA</t>
  </si>
  <si>
    <t>Bracknell Forest</t>
  </si>
  <si>
    <t>West Northamptonshire</t>
  </si>
  <si>
    <t>North Northamptonshire</t>
  </si>
  <si>
    <t>Stoke-on-Trent</t>
  </si>
  <si>
    <t>Luton</t>
  </si>
  <si>
    <t>Bedford</t>
  </si>
  <si>
    <t>Torbay</t>
  </si>
  <si>
    <t>Plymouth</t>
  </si>
  <si>
    <t>Isles of Scilly</t>
  </si>
  <si>
    <t>Devon</t>
  </si>
  <si>
    <t>Cornwall</t>
  </si>
  <si>
    <t>Southampton</t>
  </si>
  <si>
    <t>Portsmouth</t>
  </si>
  <si>
    <t>Isle of Wight</t>
  </si>
  <si>
    <t>Peterborough</t>
  </si>
  <si>
    <t>Cambridgeshire</t>
  </si>
  <si>
    <t>Warwickshire</t>
  </si>
  <si>
    <t>Westmorland and Furness</t>
  </si>
  <si>
    <t>Cumberland</t>
  </si>
  <si>
    <t>Rutland</t>
  </si>
  <si>
    <t>Leicestershire</t>
  </si>
  <si>
    <t>Leicester</t>
  </si>
  <si>
    <t>Norfolk</t>
  </si>
  <si>
    <t>Telford and Wrekin</t>
  </si>
  <si>
    <t>Shropshire</t>
  </si>
  <si>
    <t>Herefordshire</t>
  </si>
  <si>
    <t>Lincolnshire</t>
  </si>
  <si>
    <t>Somerset UA</t>
  </si>
  <si>
    <t>North Somerset</t>
  </si>
  <si>
    <t>Bristol</t>
  </si>
  <si>
    <t>Bath and North East Somerset</t>
  </si>
  <si>
    <t>Nottingham</t>
  </si>
  <si>
    <t>Thurrock</t>
  </si>
  <si>
    <t>Southend-on-Sea</t>
  </si>
  <si>
    <t>Essex</t>
  </si>
  <si>
    <t>Hertfordshire</t>
  </si>
  <si>
    <t>Westminster</t>
  </si>
  <si>
    <t>Wandsworth</t>
  </si>
  <si>
    <t>Waltham Forest</t>
  </si>
  <si>
    <t>Tower Hamlets</t>
  </si>
  <si>
    <t>Sutton</t>
  </si>
  <si>
    <t>Southwark</t>
  </si>
  <si>
    <t>Richmond upon Thames</t>
  </si>
  <si>
    <t>Redbridge</t>
  </si>
  <si>
    <t>Newham</t>
  </si>
  <si>
    <t>Merton</t>
  </si>
  <si>
    <t>Lewisham</t>
  </si>
  <si>
    <t>Lambeth</t>
  </si>
  <si>
    <t>Kingston upon Thames</t>
  </si>
  <si>
    <t>Kensington and Chelsea</t>
  </si>
  <si>
    <t>Islington</t>
  </si>
  <si>
    <t>Hounslow</t>
  </si>
  <si>
    <t>Hillingdon</t>
  </si>
  <si>
    <t>Havering</t>
  </si>
  <si>
    <t>Harrow</t>
  </si>
  <si>
    <t>Haringey</t>
  </si>
  <si>
    <t>Hammersmith and Fulham</t>
  </si>
  <si>
    <t>Hackney</t>
  </si>
  <si>
    <t>Greenwich</t>
  </si>
  <si>
    <t>Enfield</t>
  </si>
  <si>
    <t>Ealing</t>
  </si>
  <si>
    <t>Croydon</t>
  </si>
  <si>
    <t>Camden</t>
  </si>
  <si>
    <t>Bromley</t>
  </si>
  <si>
    <t>Brent</t>
  </si>
  <si>
    <t>Bexley</t>
  </si>
  <si>
    <t>Barnet</t>
  </si>
  <si>
    <t>Barking and Dagenham</t>
  </si>
  <si>
    <t>City of London</t>
  </si>
  <si>
    <t>Brighton and Hove</t>
  </si>
  <si>
    <t>Suffolk</t>
  </si>
  <si>
    <t>Swindon</t>
  </si>
  <si>
    <t>York</t>
  </si>
  <si>
    <t>North Yorkshire UA</t>
  </si>
  <si>
    <t>Surrey</t>
  </si>
  <si>
    <t>HEALTH DATA ANALYSIS</t>
  </si>
  <si>
    <t>BACKGROUND</t>
  </si>
  <si>
    <t>INDICATOR FRAMEWORK</t>
  </si>
  <si>
    <t>SOURCE</t>
  </si>
  <si>
    <t>OHID Public Health Outcomes Framework</t>
  </si>
  <si>
    <t>INDICATOR</t>
  </si>
  <si>
    <t>Worse</t>
  </si>
  <si>
    <t>5 yrs</t>
  </si>
  <si>
    <t>B02a - School readiness: percentage of children with free school meal status achieving a good level of development at the end of Reception</t>
  </si>
  <si>
    <t>Child poverty and early childhood development are important wider determinants of health, as the conditions in which children grow can influence their development and future health and wellbeing. This project focuses on two indicators from the Office for Health Improvement and Disparities (OHID) Public Health Outcomes Framework: children in absolute low-income families under 16 and school readiness, measured by the percentage of children achieving a good level of development at the end of Reception.
The analysis will examine changes in child low income in Cheshire West and Chester compared with England, compare local-authority outcomes, and explore whether an observable association exists between child low income and school readiness across English local authorities. The analysis is exploratory and considers area-level patterns; it does not assume that one indicator causes changes in the other.</t>
  </si>
  <si>
    <t>Exploring Child Low Income and School Readiness Across English Local Authorities</t>
  </si>
  <si>
    <r>
      <t xml:space="preserve">School readiness: percentage of children achieving a good level of development at the end of Reception         </t>
    </r>
    <r>
      <rPr>
        <b/>
        <sz val="11"/>
        <color theme="1"/>
        <rFont val="Aptos Narrow"/>
        <family val="2"/>
        <scheme val="minor"/>
      </rPr>
      <t>B02a</t>
    </r>
  </si>
  <si>
    <r>
      <t xml:space="preserve">Children in absolute low-income families (under 16s)  </t>
    </r>
    <r>
      <rPr>
        <b/>
        <sz val="11"/>
        <color theme="1"/>
        <rFont val="Aptos Narrow"/>
        <family val="2"/>
        <scheme val="minor"/>
      </rPr>
      <t>B01b</t>
    </r>
  </si>
  <si>
    <t>GEOGRAPHICAL FOCUS</t>
  </si>
  <si>
    <t>England - local authorities</t>
  </si>
  <si>
    <t>Primary focus</t>
  </si>
  <si>
    <t>National benchmark</t>
  </si>
  <si>
    <t>TREND ANALYSIS</t>
  </si>
  <si>
    <t>GEOGRAPHICAL COMPARISON</t>
  </si>
  <si>
    <t>How does Cheshire West and Chester compare with selected English local authorities on child low income and school readiness in 2024/25?</t>
  </si>
  <si>
    <t>RELATIONSHIP ANALYSIS</t>
  </si>
  <si>
    <t>Is there an observable association between child low income and the proportion of children with free school meal status achieving a good level of development at the end of Reception across English local authorities in 2024/25?</t>
  </si>
  <si>
    <t xml:space="preserve">ANALYSIS </t>
  </si>
  <si>
    <t>How has the proportion of children in absolute low-income families changed in Cheshire West and Chester compared with England between 2021/22 to 2024/25?</t>
  </si>
  <si>
    <t>Year</t>
  </si>
  <si>
    <t>Cheshire West &amp; Chester (%)</t>
  </si>
  <si>
    <t>England (%)</t>
  </si>
  <si>
    <t>CW&amp;C Year-on-Year Change (pp)</t>
  </si>
  <si>
    <t>CW&amp;C Gap vs England (pp)</t>
  </si>
  <si>
    <t>CW&amp;C vs England (pp)</t>
  </si>
  <si>
    <t>Question 1: How has the proportion of children in absolute low-income families changed in Cheshire West and Chester compared with England between 2021/22 to 2024/25?</t>
  </si>
  <si>
    <t>Question 2: How does Cheshire West and Chester compare with selected English local authorities on child low income and school readiness in 2024/25?</t>
  </si>
  <si>
    <t>Grand Total</t>
  </si>
  <si>
    <t>(blank)</t>
  </si>
  <si>
    <t>Local Authorities</t>
  </si>
  <si>
    <t>MEAN</t>
  </si>
  <si>
    <t>MEDIAN</t>
  </si>
  <si>
    <t xml:space="preserve"> Children in absolute low income families Value</t>
  </si>
  <si>
    <r>
      <rPr>
        <b/>
        <sz val="11"/>
        <color theme="1"/>
        <rFont val="Aptos Narrow"/>
        <family val="2"/>
        <scheme val="minor"/>
      </rPr>
      <t>Key finding:</t>
    </r>
    <r>
      <rPr>
        <sz val="11"/>
        <color theme="1"/>
        <rFont val="Aptos Narrow"/>
        <family val="2"/>
        <scheme val="minor"/>
      </rPr>
      <t xml:space="preserve"> Child low-income rates in Cheshire West and Chester increased between 2021/22 and 2022/23 before declining in the following two years. The rate remained below the England benchmark throughout the period.</t>
    </r>
  </si>
  <si>
    <t xml:space="preserve"> School readiness_Value</t>
  </si>
  <si>
    <t>Question 03: Is there an observable association between child low income and the proportion of children with free school meal status achieving a good level of development at the end of Reception across English local authorities in 2024/25?</t>
  </si>
  <si>
    <t xml:space="preserve">Local authorities </t>
  </si>
  <si>
    <t>B01b</t>
  </si>
  <si>
    <t>B02a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</si>
</sst>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20"/>
      <color theme="1"/>
      <name val="Aptos Narrow"/>
      <family val="2"/>
      <scheme val="minor"/>
    </font>
    <font>
      <sz val="20"/>
      <color theme="1"/>
      <name val="Aptos Narrow"/>
      <family val="2"/>
      <scheme val="minor"/>
    </font>
    <font>
      <b/>
      <sz val="12"/>
      <color theme="0"/>
      <name val="Aptos Narrow"/>
      <family val="2"/>
      <scheme val="minor"/>
    </font>
    <font>
      <sz val="12"/>
      <color theme="1"/>
      <name val="Aptos Narrow"/>
      <family val="2"/>
      <scheme val="minor"/>
    </font>
    <font>
      <b/>
      <sz val="16"/>
      <color theme="1"/>
      <name val="Aptos Narrow"/>
      <family val="2"/>
      <scheme val="minor"/>
    </font>
    <font>
      <b/>
      <sz val="14"/>
      <color theme="1"/>
      <name val="Aptos Narrow"/>
      <family val="2"/>
      <scheme val="minor"/>
    </font>
    <font>
      <sz val="16"/>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3" fontId="0" fillId="0" borderId="0" xfId="0" applyNumberFormat="1"/>
    <xf numFmtId="0" fontId="0" fillId="0" borderId="0" xfId="0" applyAlignment="1">
      <alignment horizontal="left"/>
    </xf>
    <xf numFmtId="0" fontId="21" fillId="0" borderId="0" xfId="0" applyFont="1" applyAlignment="1">
      <alignment horizontal="left"/>
    </xf>
    <xf numFmtId="0" fontId="0" fillId="34" borderId="0" xfId="0" applyFill="1"/>
    <xf numFmtId="0" fontId="22" fillId="0" borderId="0" xfId="0" applyFont="1"/>
    <xf numFmtId="0" fontId="23" fillId="0" borderId="0" xfId="0" applyFont="1" applyAlignment="1">
      <alignment horizontal="left"/>
    </xf>
    <xf numFmtId="0" fontId="0" fillId="0" borderId="0" xfId="0" applyAlignment="1">
      <alignment wrapText="1"/>
    </xf>
    <xf numFmtId="0" fontId="16" fillId="0" borderId="0" xfId="0" applyFont="1" applyAlignment="1">
      <alignment horizontal="center" vertical="center" wrapText="1"/>
    </xf>
    <xf numFmtId="0" fontId="0" fillId="0" borderId="0" xfId="0" applyAlignment="1">
      <alignment horizontal="right" vertical="center" wrapText="1"/>
    </xf>
    <xf numFmtId="0" fontId="16" fillId="0" borderId="0" xfId="0" applyFont="1" applyAlignment="1">
      <alignment horizontal="right" vertical="center" wrapText="1"/>
    </xf>
    <xf numFmtId="0" fontId="0" fillId="0" borderId="0" xfId="0" applyAlignment="1">
      <alignment vertical="center" wrapText="1"/>
    </xf>
    <xf numFmtId="0" fontId="16" fillId="0" borderId="0" xfId="0" applyFont="1" applyAlignment="1">
      <alignment horizontal="center" wrapText="1"/>
    </xf>
    <xf numFmtId="0" fontId="0" fillId="0" borderId="0" xfId="0" pivotButton="1"/>
    <xf numFmtId="0" fontId="16" fillId="0" borderId="0" xfId="0" applyFont="1"/>
    <xf numFmtId="0" fontId="16" fillId="0" borderId="0" xfId="0" applyFont="1" applyAlignment="1">
      <alignment horizontal="left" vertical="center" wrapText="1"/>
    </xf>
    <xf numFmtId="0" fontId="24" fillId="0" borderId="0" xfId="0" applyFont="1"/>
    <xf numFmtId="0" fontId="23" fillId="0" borderId="0" xfId="0" applyFont="1" applyAlignment="1">
      <alignment horizontal="left" wrapText="1"/>
    </xf>
    <xf numFmtId="0" fontId="0" fillId="0" borderId="0" xfId="0" applyAlignment="1">
      <alignment horizontal="left" wrapText="1"/>
    </xf>
    <xf numFmtId="0" fontId="25" fillId="0" borderId="0" xfId="0" applyFont="1" applyAlignment="1">
      <alignment horizontal="left" wrapText="1"/>
    </xf>
    <xf numFmtId="0" fontId="16" fillId="34" borderId="0" xfId="0" applyFont="1" applyFill="1" applyAlignment="1">
      <alignment horizontal="left"/>
    </xf>
    <xf numFmtId="0" fontId="21" fillId="35" borderId="0" xfId="0" applyFont="1" applyFill="1" applyAlignment="1">
      <alignment horizontal="left"/>
    </xf>
    <xf numFmtId="0" fontId="22" fillId="35" borderId="0" xfId="0" applyFont="1" applyFill="1" applyAlignment="1">
      <alignment horizontal="left"/>
    </xf>
    <xf numFmtId="0" fontId="22" fillId="0" borderId="0" xfId="0" applyFont="1" applyAlignment="1">
      <alignment horizontal="left"/>
    </xf>
    <xf numFmtId="0" fontId="0" fillId="0" borderId="0" xfId="0" applyAlignment="1">
      <alignment horizontal="left"/>
    </xf>
    <xf numFmtId="0" fontId="18" fillId="34" borderId="0" xfId="0" applyFont="1" applyFill="1" applyAlignment="1">
      <alignment horizontal="left"/>
    </xf>
    <xf numFmtId="0" fontId="18" fillId="0" borderId="0" xfId="0" applyFont="1" applyAlignment="1">
      <alignment horizontal="left"/>
    </xf>
    <xf numFmtId="0" fontId="19" fillId="0" borderId="0" xfId="0" applyFont="1" applyAlignment="1">
      <alignment horizontal="left" wrapText="1"/>
    </xf>
    <xf numFmtId="0" fontId="20" fillId="0" borderId="0" xfId="0" applyFont="1" applyAlignment="1">
      <alignment horizontal="left" wrapText="1"/>
    </xf>
    <xf numFmtId="0" fontId="21" fillId="33" borderId="0" xfId="0" applyFont="1" applyFill="1" applyAlignment="1">
      <alignment horizontal="left"/>
    </xf>
    <xf numFmtId="0" fontId="0" fillId="33" borderId="0" xfId="0" applyFill="1" applyAlignment="1">
      <alignment horizontal="left"/>
    </xf>
    <xf numFmtId="0" fontId="22"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ysClr val="windowText" lastClr="000000"/>
                </a:solidFill>
              </a:rPr>
              <a:t>Child Low Income in Cheshire West and Chester Compared with England</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Analysis_sheet!$C$6</c:f>
              <c:strCache>
                <c:ptCount val="1"/>
                <c:pt idx="0">
                  <c:v>Cheshire West &amp; Chester (%)</c:v>
                </c:pt>
              </c:strCache>
            </c:strRef>
          </c:tx>
          <c:spPr>
            <a:ln w="28575" cap="rnd">
              <a:solidFill>
                <a:schemeClr val="accent1"/>
              </a:solidFill>
              <a:round/>
            </a:ln>
            <a:effectLst/>
          </c:spPr>
          <c:marker>
            <c:symbol val="none"/>
          </c:marker>
          <c:cat>
            <c:strRef>
              <c:f>Analysis_sheet!$B$7:$B$10</c:f>
              <c:strCache>
                <c:ptCount val="4"/>
                <c:pt idx="0">
                  <c:v>2021/22</c:v>
                </c:pt>
                <c:pt idx="1">
                  <c:v>2022/23</c:v>
                </c:pt>
                <c:pt idx="2">
                  <c:v>2023/24</c:v>
                </c:pt>
                <c:pt idx="3">
                  <c:v>2024/25</c:v>
                </c:pt>
              </c:strCache>
            </c:strRef>
          </c:cat>
          <c:val>
            <c:numRef>
              <c:f>Analysis_sheet!$C$7:$C$10</c:f>
              <c:numCache>
                <c:formatCode>General</c:formatCode>
                <c:ptCount val="4"/>
                <c:pt idx="0">
                  <c:v>15.6</c:v>
                </c:pt>
                <c:pt idx="1">
                  <c:v>17.8</c:v>
                </c:pt>
                <c:pt idx="2">
                  <c:v>16.7</c:v>
                </c:pt>
                <c:pt idx="3">
                  <c:v>15.1</c:v>
                </c:pt>
              </c:numCache>
            </c:numRef>
          </c:val>
          <c:smooth val="0"/>
          <c:extLst>
            <c:ext xmlns:c16="http://schemas.microsoft.com/office/drawing/2014/chart" uri="{C3380CC4-5D6E-409C-BE32-E72D297353CC}">
              <c16:uniqueId val="{00000000-7AA9-49F4-A271-7C37523B578E}"/>
            </c:ext>
          </c:extLst>
        </c:ser>
        <c:ser>
          <c:idx val="1"/>
          <c:order val="1"/>
          <c:tx>
            <c:strRef>
              <c:f>Analysis_sheet!$D$6</c:f>
              <c:strCache>
                <c:ptCount val="1"/>
                <c:pt idx="0">
                  <c:v>England (%)</c:v>
                </c:pt>
              </c:strCache>
            </c:strRef>
          </c:tx>
          <c:spPr>
            <a:ln w="28575" cap="rnd">
              <a:solidFill>
                <a:schemeClr val="accent2"/>
              </a:solidFill>
              <a:round/>
            </a:ln>
            <a:effectLst/>
          </c:spPr>
          <c:marker>
            <c:symbol val="none"/>
          </c:marker>
          <c:cat>
            <c:strRef>
              <c:f>Analysis_sheet!$B$7:$B$10</c:f>
              <c:strCache>
                <c:ptCount val="4"/>
                <c:pt idx="0">
                  <c:v>2021/22</c:v>
                </c:pt>
                <c:pt idx="1">
                  <c:v>2022/23</c:v>
                </c:pt>
                <c:pt idx="2">
                  <c:v>2023/24</c:v>
                </c:pt>
                <c:pt idx="3">
                  <c:v>2024/25</c:v>
                </c:pt>
              </c:strCache>
            </c:strRef>
          </c:cat>
          <c:val>
            <c:numRef>
              <c:f>Analysis_sheet!$D$7:$D$10</c:f>
              <c:numCache>
                <c:formatCode>General</c:formatCode>
                <c:ptCount val="4"/>
                <c:pt idx="0">
                  <c:v>19.7</c:v>
                </c:pt>
                <c:pt idx="1">
                  <c:v>21.9</c:v>
                </c:pt>
                <c:pt idx="2">
                  <c:v>21.1</c:v>
                </c:pt>
                <c:pt idx="3">
                  <c:v>19.8</c:v>
                </c:pt>
              </c:numCache>
            </c:numRef>
          </c:val>
          <c:smooth val="0"/>
          <c:extLst>
            <c:ext xmlns:c16="http://schemas.microsoft.com/office/drawing/2014/chart" uri="{C3380CC4-5D6E-409C-BE32-E72D297353CC}">
              <c16:uniqueId val="{00000001-7AA9-49F4-A271-7C37523B578E}"/>
            </c:ext>
          </c:extLst>
        </c:ser>
        <c:dLbls>
          <c:showLegendKey val="0"/>
          <c:showVal val="0"/>
          <c:showCatName val="0"/>
          <c:showSerName val="0"/>
          <c:showPercent val="0"/>
          <c:showBubbleSize val="0"/>
        </c:dLbls>
        <c:smooth val="0"/>
        <c:axId val="396244495"/>
        <c:axId val="431143263"/>
      </c:lineChart>
      <c:catAx>
        <c:axId val="396244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solidFill>
                      <a:sysClr val="windowText" lastClr="000000"/>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43263"/>
        <c:crosses val="autoZero"/>
        <c:auto val="1"/>
        <c:lblAlgn val="ctr"/>
        <c:lblOffset val="100"/>
        <c:noMultiLvlLbl val="0"/>
      </c:catAx>
      <c:valAx>
        <c:axId val="4311432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i="0" u="none" strike="noStrike" baseline="0">
                    <a:solidFill>
                      <a:sysClr val="windowText" lastClr="000000"/>
                    </a:solidFill>
                  </a:rPr>
                  <a:t>Children in absolute low-income families (%)</a:t>
                </a:r>
                <a:endParaRPr lang="en-US" b="1">
                  <a:solidFill>
                    <a:sysClr val="windowText" lastClr="000000"/>
                  </a:solidFill>
                </a:endParaRPr>
              </a:p>
            </c:rich>
          </c:tx>
          <c:layout>
            <c:manualLayout>
              <c:xMode val="edge"/>
              <c:yMode val="edge"/>
              <c:x val="2.2222222222222223E-2"/>
              <c:y val="0.1165740740740740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44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[PHOF_Public_Health_Wider_Determinants_Analysis.xlsx]Analysis_sheet!PivotTable6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ysClr val="windowText" lastClr="000000"/>
                </a:solidFill>
              </a:rPr>
              <a:t>Children in absolute low income families across</a:t>
            </a:r>
            <a:r>
              <a:rPr lang="en-US" sz="1300" b="1" baseline="0">
                <a:solidFill>
                  <a:sysClr val="windowText" lastClr="000000"/>
                </a:solidFill>
              </a:rPr>
              <a:t> local authorities 2024/25</a:t>
            </a:r>
            <a:endParaRPr lang="en-US" sz="13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bar"/>
        <c:grouping val="clustered"/>
        <c:varyColors val="0"/>
        <c:ser>
          <c:idx val="0"/>
          <c:order val="0"/>
          <c:tx>
            <c:strRef>
              <c:f>Analysis_sheet!$C$36</c:f>
              <c:strCache>
                <c:ptCount val="1"/>
                <c:pt idx="0">
                  <c:v>Total</c:v>
                </c:pt>
              </c:strCache>
            </c:strRef>
          </c:tx>
          <c:spPr>
            <a:solidFill>
              <a:schemeClr val="accent1"/>
            </a:solidFill>
            <a:ln>
              <a:noFill/>
            </a:ln>
            <a:effectLst/>
          </c:spPr>
          <c:invertIfNegative val="0"/>
          <c:dPt>
            <c:idx val="5"/>
            <c:invertIfNegative val="0"/>
            <c:bubble3D val="0"/>
            <c:spPr>
              <a:solidFill>
                <a:schemeClr val="accent2"/>
              </a:solidFill>
              <a:ln>
                <a:noFill/>
              </a:ln>
              <a:effectLst/>
            </c:spPr>
            <c:extLst>
              <c:ext xmlns:c16="http://schemas.microsoft.com/office/drawing/2014/chart" uri="{C3380CC4-5D6E-409C-BE32-E72D297353CC}">
                <c16:uniqueId val="{00000001-150C-4886-8E1B-3BF0A9B337DF}"/>
              </c:ext>
            </c:extLst>
          </c:dPt>
          <c:cat>
            <c:strRef>
              <c:f>Analysis_sheet!$B$37:$B$59</c:f>
              <c:strCache>
                <c:ptCount val="22"/>
                <c:pt idx="0">
                  <c:v>Barnet</c:v>
                </c:pt>
                <c:pt idx="1">
                  <c:v>Bath and North East Somerset</c:v>
                </c:pt>
                <c:pt idx="2">
                  <c:v>Birmingham</c:v>
                </c:pt>
                <c:pt idx="3">
                  <c:v>Central Bedfordshire</c:v>
                </c:pt>
                <c:pt idx="4">
                  <c:v>Cheshire East</c:v>
                </c:pt>
                <c:pt idx="5">
                  <c:v>Cheshire West and Chester</c:v>
                </c:pt>
                <c:pt idx="6">
                  <c:v>Croydon</c:v>
                </c:pt>
                <c:pt idx="7">
                  <c:v>Darlington</c:v>
                </c:pt>
                <c:pt idx="8">
                  <c:v>England</c:v>
                </c:pt>
                <c:pt idx="9">
                  <c:v>Kent</c:v>
                </c:pt>
                <c:pt idx="10">
                  <c:v>Liverpool</c:v>
                </c:pt>
                <c:pt idx="11">
                  <c:v>Manchester</c:v>
                </c:pt>
                <c:pt idx="12">
                  <c:v>Nottingham</c:v>
                </c:pt>
                <c:pt idx="13">
                  <c:v>Nottinghamshire</c:v>
                </c:pt>
                <c:pt idx="14">
                  <c:v>Salford</c:v>
                </c:pt>
                <c:pt idx="15">
                  <c:v>Sheffield</c:v>
                </c:pt>
                <c:pt idx="16">
                  <c:v>Slough</c:v>
                </c:pt>
                <c:pt idx="17">
                  <c:v>Southampton</c:v>
                </c:pt>
                <c:pt idx="18">
                  <c:v>Stockton-on-Tees</c:v>
                </c:pt>
                <c:pt idx="19">
                  <c:v>Stoke-on-Trent</c:v>
                </c:pt>
                <c:pt idx="20">
                  <c:v>Suffolk</c:v>
                </c:pt>
                <c:pt idx="21">
                  <c:v>Sunderland</c:v>
                </c:pt>
              </c:strCache>
            </c:strRef>
          </c:cat>
          <c:val>
            <c:numRef>
              <c:f>Analysis_sheet!$C$37:$C$59</c:f>
              <c:numCache>
                <c:formatCode>General</c:formatCode>
                <c:ptCount val="22"/>
                <c:pt idx="0">
                  <c:v>11.2</c:v>
                </c:pt>
                <c:pt idx="1">
                  <c:v>10.199999999999999</c:v>
                </c:pt>
                <c:pt idx="2">
                  <c:v>39.5</c:v>
                </c:pt>
                <c:pt idx="3">
                  <c:v>11.7</c:v>
                </c:pt>
                <c:pt idx="4">
                  <c:v>13</c:v>
                </c:pt>
                <c:pt idx="5">
                  <c:v>15.1</c:v>
                </c:pt>
                <c:pt idx="6">
                  <c:v>16.399999999999999</c:v>
                </c:pt>
                <c:pt idx="7">
                  <c:v>24.8</c:v>
                </c:pt>
                <c:pt idx="8">
                  <c:v>19.8</c:v>
                </c:pt>
                <c:pt idx="9">
                  <c:v>15.3</c:v>
                </c:pt>
                <c:pt idx="10">
                  <c:v>29.6</c:v>
                </c:pt>
                <c:pt idx="11">
                  <c:v>35.5</c:v>
                </c:pt>
                <c:pt idx="12">
                  <c:v>33.700000000000003</c:v>
                </c:pt>
                <c:pt idx="13">
                  <c:v>19.5</c:v>
                </c:pt>
                <c:pt idx="14">
                  <c:v>25.4</c:v>
                </c:pt>
                <c:pt idx="15">
                  <c:v>28.5</c:v>
                </c:pt>
                <c:pt idx="16">
                  <c:v>19.3</c:v>
                </c:pt>
                <c:pt idx="17">
                  <c:v>21.8</c:v>
                </c:pt>
                <c:pt idx="18">
                  <c:v>22.3</c:v>
                </c:pt>
                <c:pt idx="19">
                  <c:v>35</c:v>
                </c:pt>
                <c:pt idx="20">
                  <c:v>18</c:v>
                </c:pt>
                <c:pt idx="21">
                  <c:v>25.7</c:v>
                </c:pt>
              </c:numCache>
            </c:numRef>
          </c:val>
          <c:extLst>
            <c:ext xmlns:c16="http://schemas.microsoft.com/office/drawing/2014/chart" uri="{C3380CC4-5D6E-409C-BE32-E72D297353CC}">
              <c16:uniqueId val="{00000000-5A53-4A9F-AAA3-9B6F609F5D19}"/>
            </c:ext>
          </c:extLst>
        </c:ser>
        <c:dLbls>
          <c:showLegendKey val="0"/>
          <c:showVal val="0"/>
          <c:showCatName val="0"/>
          <c:showSerName val="0"/>
          <c:showPercent val="0"/>
          <c:showBubbleSize val="0"/>
        </c:dLbls>
        <c:gapWidth val="182"/>
        <c:axId val="1345228831"/>
        <c:axId val="666132511"/>
      </c:barChart>
      <c:catAx>
        <c:axId val="1345228831"/>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Local Authorities</a:t>
                </a:r>
              </a:p>
            </c:rich>
          </c:tx>
          <c:layout>
            <c:manualLayout>
              <c:xMode val="edge"/>
              <c:yMode val="edge"/>
              <c:x val="0.17377260981912146"/>
              <c:y val="0.3726955243456847"/>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132511"/>
        <c:crosses val="autoZero"/>
        <c:auto val="1"/>
        <c:lblAlgn val="ctr"/>
        <c:lblOffset val="100"/>
        <c:noMultiLvlLbl val="0"/>
      </c:catAx>
      <c:valAx>
        <c:axId val="66613251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Value (%)</a:t>
                </a:r>
              </a:p>
            </c:rich>
          </c:tx>
          <c:layout>
            <c:manualLayout>
              <c:xMode val="edge"/>
              <c:yMode val="edge"/>
              <c:x val="0.51350525951697901"/>
              <c:y val="0.899287097306337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22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[PHOF_Public_Health_Wider_Determinants_Analysis.xlsx]Analysis_sheet!PivotTable7</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School readiness: percentage of children with free school meal status 2024/25</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Analysis_sheet!$L$36</c:f>
              <c:strCache>
                <c:ptCount val="1"/>
                <c:pt idx="0">
                  <c:v>Total</c:v>
                </c:pt>
              </c:strCache>
            </c:strRef>
          </c:tx>
          <c:spPr>
            <a:solidFill>
              <a:schemeClr val="accent1"/>
            </a:solidFill>
            <a:ln>
              <a:noFill/>
            </a:ln>
            <a:effectLst/>
          </c:spPr>
          <c:invertIfNegative val="0"/>
          <c:cat>
            <c:strRef>
              <c:f>Analysis_sheet!$K$37:$K$192</c:f>
              <c:strCache>
                <c:ptCount val="155"/>
                <c:pt idx="0">
                  <c:v>Barking and Dagenham</c:v>
                </c:pt>
                <c:pt idx="1">
                  <c:v>Barnet</c:v>
                </c:pt>
                <c:pt idx="2">
                  <c:v>Barnsley</c:v>
                </c:pt>
                <c:pt idx="3">
                  <c:v>Bath and North East Somerset</c:v>
                </c:pt>
                <c:pt idx="4">
                  <c:v>Bedford</c:v>
                </c:pt>
                <c:pt idx="5">
                  <c:v>Bexley</c:v>
                </c:pt>
                <c:pt idx="6">
                  <c:v>Birmingham</c:v>
                </c:pt>
                <c:pt idx="7">
                  <c:v>Blackburn with Darwen</c:v>
                </c:pt>
                <c:pt idx="8">
                  <c:v>Blackpool</c:v>
                </c:pt>
                <c:pt idx="9">
                  <c:v>Bolton</c:v>
                </c:pt>
                <c:pt idx="10">
                  <c:v>Bournemouth, Christchurch and Poole</c:v>
                </c:pt>
                <c:pt idx="11">
                  <c:v>Bracknell Forest</c:v>
                </c:pt>
                <c:pt idx="12">
                  <c:v>Bradford</c:v>
                </c:pt>
                <c:pt idx="13">
                  <c:v>Brent</c:v>
                </c:pt>
                <c:pt idx="14">
                  <c:v>Brighton and Hove</c:v>
                </c:pt>
                <c:pt idx="15">
                  <c:v>Bristol</c:v>
                </c:pt>
                <c:pt idx="16">
                  <c:v>Bromley</c:v>
                </c:pt>
                <c:pt idx="17">
                  <c:v>Buckinghamshire UA</c:v>
                </c:pt>
                <c:pt idx="18">
                  <c:v>Bury</c:v>
                </c:pt>
                <c:pt idx="19">
                  <c:v>Calderdale</c:v>
                </c:pt>
                <c:pt idx="20">
                  <c:v>Cambridgeshire</c:v>
                </c:pt>
                <c:pt idx="21">
                  <c:v>Camden</c:v>
                </c:pt>
                <c:pt idx="22">
                  <c:v>Central Bedfordshire</c:v>
                </c:pt>
                <c:pt idx="23">
                  <c:v>Cheshire East</c:v>
                </c:pt>
                <c:pt idx="24">
                  <c:v>Cheshire West and Chester</c:v>
                </c:pt>
                <c:pt idx="25">
                  <c:v>City of London</c:v>
                </c:pt>
                <c:pt idx="26">
                  <c:v>Cornwall</c:v>
                </c:pt>
                <c:pt idx="27">
                  <c:v>County Durham</c:v>
                </c:pt>
                <c:pt idx="28">
                  <c:v>Coventry</c:v>
                </c:pt>
                <c:pt idx="29">
                  <c:v>Croydon</c:v>
                </c:pt>
                <c:pt idx="30">
                  <c:v>Cumberland</c:v>
                </c:pt>
                <c:pt idx="31">
                  <c:v>Darlington</c:v>
                </c:pt>
                <c:pt idx="32">
                  <c:v>Derby</c:v>
                </c:pt>
                <c:pt idx="33">
                  <c:v>Derbyshire</c:v>
                </c:pt>
                <c:pt idx="34">
                  <c:v>Devon</c:v>
                </c:pt>
                <c:pt idx="35">
                  <c:v>Doncaster</c:v>
                </c:pt>
                <c:pt idx="36">
                  <c:v>Dorset</c:v>
                </c:pt>
                <c:pt idx="37">
                  <c:v>Dudley</c:v>
                </c:pt>
                <c:pt idx="38">
                  <c:v>Ealing</c:v>
                </c:pt>
                <c:pt idx="39">
                  <c:v>East Riding of Yorkshire</c:v>
                </c:pt>
                <c:pt idx="40">
                  <c:v>East Sussex</c:v>
                </c:pt>
                <c:pt idx="41">
                  <c:v>Enfield</c:v>
                </c:pt>
                <c:pt idx="42">
                  <c:v>England</c:v>
                </c:pt>
                <c:pt idx="43">
                  <c:v>Essex</c:v>
                </c:pt>
                <c:pt idx="44">
                  <c:v>Gateshead</c:v>
                </c:pt>
                <c:pt idx="45">
                  <c:v>Gloucestershire</c:v>
                </c:pt>
                <c:pt idx="46">
                  <c:v>Greenwich</c:v>
                </c:pt>
                <c:pt idx="47">
                  <c:v>Hackney</c:v>
                </c:pt>
                <c:pt idx="48">
                  <c:v>Halton</c:v>
                </c:pt>
                <c:pt idx="49">
                  <c:v>Hammersmith and Fulham</c:v>
                </c:pt>
                <c:pt idx="50">
                  <c:v>Hampshire</c:v>
                </c:pt>
                <c:pt idx="51">
                  <c:v>Haringey</c:v>
                </c:pt>
                <c:pt idx="52">
                  <c:v>Harrow</c:v>
                </c:pt>
                <c:pt idx="53">
                  <c:v>Hartlepool</c:v>
                </c:pt>
                <c:pt idx="54">
                  <c:v>Havering</c:v>
                </c:pt>
                <c:pt idx="55">
                  <c:v>Herefordshire</c:v>
                </c:pt>
                <c:pt idx="56">
                  <c:v>Hertfordshire</c:v>
                </c:pt>
                <c:pt idx="57">
                  <c:v>Hillingdon</c:v>
                </c:pt>
                <c:pt idx="58">
                  <c:v>Hounslow</c:v>
                </c:pt>
                <c:pt idx="59">
                  <c:v>Isle of Wight</c:v>
                </c:pt>
                <c:pt idx="60">
                  <c:v>Isles of Scilly</c:v>
                </c:pt>
                <c:pt idx="61">
                  <c:v>Islington</c:v>
                </c:pt>
                <c:pt idx="62">
                  <c:v>Kensington and Chelsea</c:v>
                </c:pt>
                <c:pt idx="63">
                  <c:v>Kent</c:v>
                </c:pt>
                <c:pt idx="64">
                  <c:v>Kingston upon Hull</c:v>
                </c:pt>
                <c:pt idx="65">
                  <c:v>Kingston upon Thames</c:v>
                </c:pt>
                <c:pt idx="66">
                  <c:v>Kirklees</c:v>
                </c:pt>
                <c:pt idx="67">
                  <c:v>Knowsley</c:v>
                </c:pt>
                <c:pt idx="68">
                  <c:v>Lambeth</c:v>
                </c:pt>
                <c:pt idx="69">
                  <c:v>Lancashire</c:v>
                </c:pt>
                <c:pt idx="70">
                  <c:v>Leeds</c:v>
                </c:pt>
                <c:pt idx="71">
                  <c:v>Leicester</c:v>
                </c:pt>
                <c:pt idx="72">
                  <c:v>Leicestershire</c:v>
                </c:pt>
                <c:pt idx="73">
                  <c:v>Lewisham</c:v>
                </c:pt>
                <c:pt idx="74">
                  <c:v>Lincolnshire</c:v>
                </c:pt>
                <c:pt idx="75">
                  <c:v>Liverpool</c:v>
                </c:pt>
                <c:pt idx="76">
                  <c:v>Luton</c:v>
                </c:pt>
                <c:pt idx="77">
                  <c:v>Manchester</c:v>
                </c:pt>
                <c:pt idx="78">
                  <c:v>Medway</c:v>
                </c:pt>
                <c:pt idx="79">
                  <c:v>Merton</c:v>
                </c:pt>
                <c:pt idx="80">
                  <c:v>Middlesbrough</c:v>
                </c:pt>
                <c:pt idx="81">
                  <c:v>Milton Keynes</c:v>
                </c:pt>
                <c:pt idx="82">
                  <c:v>Newcastle upon Tyne</c:v>
                </c:pt>
                <c:pt idx="83">
                  <c:v>Newham</c:v>
                </c:pt>
                <c:pt idx="84">
                  <c:v>Norfolk</c:v>
                </c:pt>
                <c:pt idx="85">
                  <c:v>North East Lincolnshire</c:v>
                </c:pt>
                <c:pt idx="86">
                  <c:v>North Lincolnshire</c:v>
                </c:pt>
                <c:pt idx="87">
                  <c:v>North Northamptonshire</c:v>
                </c:pt>
                <c:pt idx="88">
                  <c:v>North Somerset</c:v>
                </c:pt>
                <c:pt idx="89">
                  <c:v>North Tyneside</c:v>
                </c:pt>
                <c:pt idx="90">
                  <c:v>North Yorkshire UA</c:v>
                </c:pt>
                <c:pt idx="91">
                  <c:v>Northumberland</c:v>
                </c:pt>
                <c:pt idx="92">
                  <c:v>Nottingham</c:v>
                </c:pt>
                <c:pt idx="93">
                  <c:v>Nottinghamshire</c:v>
                </c:pt>
                <c:pt idx="94">
                  <c:v>Oldham</c:v>
                </c:pt>
                <c:pt idx="95">
                  <c:v>Oxfordshire</c:v>
                </c:pt>
                <c:pt idx="96">
                  <c:v>Peterborough</c:v>
                </c:pt>
                <c:pt idx="97">
                  <c:v>Plymouth</c:v>
                </c:pt>
                <c:pt idx="98">
                  <c:v>Portsmouth</c:v>
                </c:pt>
                <c:pt idx="99">
                  <c:v>Reading</c:v>
                </c:pt>
                <c:pt idx="100">
                  <c:v>Redbridge</c:v>
                </c:pt>
                <c:pt idx="101">
                  <c:v>Redcar and Cleveland</c:v>
                </c:pt>
                <c:pt idx="102">
                  <c:v>Richmond upon Thames</c:v>
                </c:pt>
                <c:pt idx="103">
                  <c:v>Rochdale</c:v>
                </c:pt>
                <c:pt idx="104">
                  <c:v>Rotherham</c:v>
                </c:pt>
                <c:pt idx="105">
                  <c:v>Rutland</c:v>
                </c:pt>
                <c:pt idx="106">
                  <c:v>Salford</c:v>
                </c:pt>
                <c:pt idx="107">
                  <c:v>Sandwell</c:v>
                </c:pt>
                <c:pt idx="108">
                  <c:v>Sefton</c:v>
                </c:pt>
                <c:pt idx="109">
                  <c:v>Sheffield</c:v>
                </c:pt>
                <c:pt idx="110">
                  <c:v>Shropshire</c:v>
                </c:pt>
                <c:pt idx="111">
                  <c:v>Slough</c:v>
                </c:pt>
                <c:pt idx="112">
                  <c:v>Solihull</c:v>
                </c:pt>
                <c:pt idx="113">
                  <c:v>Somerset UA</c:v>
                </c:pt>
                <c:pt idx="114">
                  <c:v>South Gloucestershire</c:v>
                </c:pt>
                <c:pt idx="115">
                  <c:v>South Tyneside</c:v>
                </c:pt>
                <c:pt idx="116">
                  <c:v>Southampton</c:v>
                </c:pt>
                <c:pt idx="117">
                  <c:v>Southend-on-Sea</c:v>
                </c:pt>
                <c:pt idx="118">
                  <c:v>Southwark</c:v>
                </c:pt>
                <c:pt idx="119">
                  <c:v>St. Helens</c:v>
                </c:pt>
                <c:pt idx="120">
                  <c:v>Staffordshire</c:v>
                </c:pt>
                <c:pt idx="121">
                  <c:v>Stockport</c:v>
                </c:pt>
                <c:pt idx="122">
                  <c:v>Stockton-on-Tees</c:v>
                </c:pt>
                <c:pt idx="123">
                  <c:v>Stoke-on-Trent</c:v>
                </c:pt>
                <c:pt idx="124">
                  <c:v>Suffolk</c:v>
                </c:pt>
                <c:pt idx="125">
                  <c:v>Sunderland</c:v>
                </c:pt>
                <c:pt idx="126">
                  <c:v>Surrey</c:v>
                </c:pt>
                <c:pt idx="127">
                  <c:v>Sutton</c:v>
                </c:pt>
                <c:pt idx="128">
                  <c:v>Swindon</c:v>
                </c:pt>
                <c:pt idx="129">
                  <c:v>Tameside</c:v>
                </c:pt>
                <c:pt idx="130">
                  <c:v>Telford and Wrekin</c:v>
                </c:pt>
                <c:pt idx="131">
                  <c:v>Thurrock</c:v>
                </c:pt>
                <c:pt idx="132">
                  <c:v>Torbay</c:v>
                </c:pt>
                <c:pt idx="133">
                  <c:v>Tower Hamlets</c:v>
                </c:pt>
                <c:pt idx="134">
                  <c:v>Trafford</c:v>
                </c:pt>
                <c:pt idx="135">
                  <c:v>Wakefield</c:v>
                </c:pt>
                <c:pt idx="136">
                  <c:v>Walsall</c:v>
                </c:pt>
                <c:pt idx="137">
                  <c:v>Waltham Forest</c:v>
                </c:pt>
                <c:pt idx="138">
                  <c:v>Wandsworth</c:v>
                </c:pt>
                <c:pt idx="139">
                  <c:v>Warrington</c:v>
                </c:pt>
                <c:pt idx="140">
                  <c:v>Warwickshire</c:v>
                </c:pt>
                <c:pt idx="141">
                  <c:v>West Berkshire</c:v>
                </c:pt>
                <c:pt idx="142">
                  <c:v>West Northamptonshire</c:v>
                </c:pt>
                <c:pt idx="143">
                  <c:v>West Sussex</c:v>
                </c:pt>
                <c:pt idx="144">
                  <c:v>Westminster</c:v>
                </c:pt>
                <c:pt idx="145">
                  <c:v>Westmorland and Furness</c:v>
                </c:pt>
                <c:pt idx="146">
                  <c:v>Wigan</c:v>
                </c:pt>
                <c:pt idx="147">
                  <c:v>Wiltshire</c:v>
                </c:pt>
                <c:pt idx="148">
                  <c:v>Windsor and Maidenhead</c:v>
                </c:pt>
                <c:pt idx="149">
                  <c:v>Wirral</c:v>
                </c:pt>
                <c:pt idx="150">
                  <c:v>Wokingham</c:v>
                </c:pt>
                <c:pt idx="151">
                  <c:v>Wolverhampton</c:v>
                </c:pt>
                <c:pt idx="152">
                  <c:v>Worcestershire</c:v>
                </c:pt>
                <c:pt idx="153">
                  <c:v>York</c:v>
                </c:pt>
                <c:pt idx="154">
                  <c:v>(blank)</c:v>
                </c:pt>
              </c:strCache>
            </c:strRef>
          </c:cat>
          <c:val>
            <c:numRef>
              <c:f>Analysis_sheet!$L$37:$L$192</c:f>
              <c:numCache>
                <c:formatCode>General</c:formatCode>
                <c:ptCount val="155"/>
                <c:pt idx="0">
                  <c:v>55.6845</c:v>
                </c:pt>
                <c:pt idx="1">
                  <c:v>55</c:v>
                </c:pt>
                <c:pt idx="2">
                  <c:v>55.974800000000002</c:v>
                </c:pt>
                <c:pt idx="3">
                  <c:v>38.219900000000003</c:v>
                </c:pt>
                <c:pt idx="4">
                  <c:v>47.452199999999998</c:v>
                </c:pt>
                <c:pt idx="5">
                  <c:v>56.901400000000002</c:v>
                </c:pt>
                <c:pt idx="6">
                  <c:v>59.481099999999998</c:v>
                </c:pt>
                <c:pt idx="7">
                  <c:v>49.520800000000001</c:v>
                </c:pt>
                <c:pt idx="8">
                  <c:v>52.300199999999997</c:v>
                </c:pt>
                <c:pt idx="9">
                  <c:v>51.704500000000003</c:v>
                </c:pt>
                <c:pt idx="10">
                  <c:v>53.829300000000003</c:v>
                </c:pt>
                <c:pt idx="11">
                  <c:v>43.243200000000002</c:v>
                </c:pt>
                <c:pt idx="12">
                  <c:v>50.351500000000001</c:v>
                </c:pt>
                <c:pt idx="13">
                  <c:v>61.283999999999999</c:v>
                </c:pt>
                <c:pt idx="14">
                  <c:v>47.344099999999997</c:v>
                </c:pt>
                <c:pt idx="15">
                  <c:v>49.005200000000002</c:v>
                </c:pt>
                <c:pt idx="16">
                  <c:v>52.339199999999998</c:v>
                </c:pt>
                <c:pt idx="17">
                  <c:v>46.955100000000002</c:v>
                </c:pt>
                <c:pt idx="18">
                  <c:v>50.915799999999997</c:v>
                </c:pt>
                <c:pt idx="19">
                  <c:v>44.469000000000001</c:v>
                </c:pt>
                <c:pt idx="20">
                  <c:v>45.069000000000003</c:v>
                </c:pt>
                <c:pt idx="21">
                  <c:v>63.145499999999998</c:v>
                </c:pt>
                <c:pt idx="22">
                  <c:v>43.445700000000002</c:v>
                </c:pt>
                <c:pt idx="23">
                  <c:v>42.637999999999998</c:v>
                </c:pt>
                <c:pt idx="24">
                  <c:v>45.045000000000002</c:v>
                </c:pt>
                <c:pt idx="25">
                  <c:v>100</c:v>
                </c:pt>
                <c:pt idx="26">
                  <c:v>51.502099999999999</c:v>
                </c:pt>
                <c:pt idx="27">
                  <c:v>46.010800000000003</c:v>
                </c:pt>
                <c:pt idx="28">
                  <c:v>50.540500000000002</c:v>
                </c:pt>
                <c:pt idx="29">
                  <c:v>60.216299999999997</c:v>
                </c:pt>
                <c:pt idx="30">
                  <c:v>45.382599999999996</c:v>
                </c:pt>
                <c:pt idx="31">
                  <c:v>44.748899999999999</c:v>
                </c:pt>
                <c:pt idx="32">
                  <c:v>52.068100000000001</c:v>
                </c:pt>
                <c:pt idx="33">
                  <c:v>47.096800000000002</c:v>
                </c:pt>
                <c:pt idx="34">
                  <c:v>46.311500000000002</c:v>
                </c:pt>
                <c:pt idx="35">
                  <c:v>53.507599999999996</c:v>
                </c:pt>
                <c:pt idx="36">
                  <c:v>45.031100000000002</c:v>
                </c:pt>
                <c:pt idx="37">
                  <c:v>47.478299999999997</c:v>
                </c:pt>
                <c:pt idx="38">
                  <c:v>55.555599999999998</c:v>
                </c:pt>
                <c:pt idx="39">
                  <c:v>45.821300000000001</c:v>
                </c:pt>
                <c:pt idx="40">
                  <c:v>50.059899999999999</c:v>
                </c:pt>
                <c:pt idx="41">
                  <c:v>62.331800000000001</c:v>
                </c:pt>
                <c:pt idx="42">
                  <c:v>51.257100000000001</c:v>
                </c:pt>
                <c:pt idx="43">
                  <c:v>50.330300000000001</c:v>
                </c:pt>
                <c:pt idx="44">
                  <c:v>47.117800000000003</c:v>
                </c:pt>
                <c:pt idx="45">
                  <c:v>48.333300000000001</c:v>
                </c:pt>
                <c:pt idx="46">
                  <c:v>61.021900000000002</c:v>
                </c:pt>
                <c:pt idx="47">
                  <c:v>65.905799999999999</c:v>
                </c:pt>
                <c:pt idx="48">
                  <c:v>51.5152</c:v>
                </c:pt>
                <c:pt idx="49">
                  <c:v>59.745800000000003</c:v>
                </c:pt>
                <c:pt idx="50">
                  <c:v>50.240299999999998</c:v>
                </c:pt>
                <c:pt idx="51">
                  <c:v>60.411900000000003</c:v>
                </c:pt>
                <c:pt idx="52">
                  <c:v>48.736499999999999</c:v>
                </c:pt>
                <c:pt idx="53">
                  <c:v>52.215200000000003</c:v>
                </c:pt>
                <c:pt idx="54">
                  <c:v>55.6995</c:v>
                </c:pt>
                <c:pt idx="55">
                  <c:v>51.658799999999999</c:v>
                </c:pt>
                <c:pt idx="56">
                  <c:v>43.852200000000003</c:v>
                </c:pt>
                <c:pt idx="57">
                  <c:v>58.134900000000002</c:v>
                </c:pt>
                <c:pt idx="58">
                  <c:v>55.0914</c:v>
                </c:pt>
                <c:pt idx="59">
                  <c:v>53.543300000000002</c:v>
                </c:pt>
                <c:pt idx="61">
                  <c:v>57.009300000000003</c:v>
                </c:pt>
                <c:pt idx="62">
                  <c:v>55.814</c:v>
                </c:pt>
                <c:pt idx="63">
                  <c:v>50.670099999999998</c:v>
                </c:pt>
                <c:pt idx="64">
                  <c:v>56.13</c:v>
                </c:pt>
                <c:pt idx="65">
                  <c:v>49.710999999999999</c:v>
                </c:pt>
                <c:pt idx="66">
                  <c:v>50.488999999999997</c:v>
                </c:pt>
                <c:pt idx="67">
                  <c:v>52.4</c:v>
                </c:pt>
                <c:pt idx="68">
                  <c:v>59.128999999999998</c:v>
                </c:pt>
                <c:pt idx="69">
                  <c:v>46.005499999999998</c:v>
                </c:pt>
                <c:pt idx="70">
                  <c:v>45.826900000000002</c:v>
                </c:pt>
                <c:pt idx="71">
                  <c:v>54.505800000000001</c:v>
                </c:pt>
                <c:pt idx="72">
                  <c:v>46.134300000000003</c:v>
                </c:pt>
                <c:pt idx="73">
                  <c:v>58.070500000000003</c:v>
                </c:pt>
                <c:pt idx="74">
                  <c:v>50</c:v>
                </c:pt>
                <c:pt idx="75">
                  <c:v>51.007899999999999</c:v>
                </c:pt>
                <c:pt idx="76">
                  <c:v>52.553199999999997</c:v>
                </c:pt>
                <c:pt idx="77">
                  <c:v>53.0854</c:v>
                </c:pt>
                <c:pt idx="78">
                  <c:v>53.172199999999997</c:v>
                </c:pt>
                <c:pt idx="79">
                  <c:v>53.6145</c:v>
                </c:pt>
                <c:pt idx="80">
                  <c:v>53.472200000000001</c:v>
                </c:pt>
                <c:pt idx="81">
                  <c:v>54.021000000000001</c:v>
                </c:pt>
                <c:pt idx="82">
                  <c:v>51.542900000000003</c:v>
                </c:pt>
                <c:pt idx="83">
                  <c:v>64.182400000000001</c:v>
                </c:pt>
                <c:pt idx="84">
                  <c:v>46.045699999999997</c:v>
                </c:pt>
                <c:pt idx="85">
                  <c:v>54.615400000000001</c:v>
                </c:pt>
                <c:pt idx="86">
                  <c:v>49.693300000000001</c:v>
                </c:pt>
                <c:pt idx="87">
                  <c:v>47.858499999999999</c:v>
                </c:pt>
                <c:pt idx="88">
                  <c:v>44.886400000000002</c:v>
                </c:pt>
                <c:pt idx="89">
                  <c:v>45.238100000000003</c:v>
                </c:pt>
                <c:pt idx="90">
                  <c:v>45.537100000000002</c:v>
                </c:pt>
                <c:pt idx="91">
                  <c:v>46.376800000000003</c:v>
                </c:pt>
                <c:pt idx="92">
                  <c:v>53.846200000000003</c:v>
                </c:pt>
                <c:pt idx="93">
                  <c:v>46.827300000000001</c:v>
                </c:pt>
                <c:pt idx="94">
                  <c:v>48.191000000000003</c:v>
                </c:pt>
                <c:pt idx="95">
                  <c:v>43.137300000000003</c:v>
                </c:pt>
                <c:pt idx="96">
                  <c:v>47.9452</c:v>
                </c:pt>
                <c:pt idx="97">
                  <c:v>52.295900000000003</c:v>
                </c:pt>
                <c:pt idx="98">
                  <c:v>48.4848</c:v>
                </c:pt>
                <c:pt idx="99">
                  <c:v>50.416699999999999</c:v>
                </c:pt>
                <c:pt idx="100">
                  <c:v>63.636400000000002</c:v>
                </c:pt>
                <c:pt idx="101">
                  <c:v>46.218499999999999</c:v>
                </c:pt>
                <c:pt idx="102">
                  <c:v>52.040799999999997</c:v>
                </c:pt>
                <c:pt idx="103">
                  <c:v>46.954799999999999</c:v>
                </c:pt>
                <c:pt idx="104">
                  <c:v>44.241300000000003</c:v>
                </c:pt>
                <c:pt idx="105">
                  <c:v>33.333300000000001</c:v>
                </c:pt>
                <c:pt idx="106">
                  <c:v>53.791499999999999</c:v>
                </c:pt>
                <c:pt idx="107">
                  <c:v>53.0075</c:v>
                </c:pt>
                <c:pt idx="108">
                  <c:v>45.824800000000003</c:v>
                </c:pt>
                <c:pt idx="109">
                  <c:v>46.5261</c:v>
                </c:pt>
                <c:pt idx="110">
                  <c:v>43.689300000000003</c:v>
                </c:pt>
                <c:pt idx="111">
                  <c:v>61.980800000000002</c:v>
                </c:pt>
                <c:pt idx="112">
                  <c:v>53.378399999999999</c:v>
                </c:pt>
                <c:pt idx="113">
                  <c:v>48.441600000000001</c:v>
                </c:pt>
                <c:pt idx="114">
                  <c:v>48.581600000000002</c:v>
                </c:pt>
                <c:pt idx="115">
                  <c:v>55</c:v>
                </c:pt>
                <c:pt idx="116">
                  <c:v>56.042299999999997</c:v>
                </c:pt>
                <c:pt idx="117">
                  <c:v>50.470199999999998</c:v>
                </c:pt>
                <c:pt idx="118">
                  <c:v>57.1235</c:v>
                </c:pt>
                <c:pt idx="119">
                  <c:v>45.082000000000001</c:v>
                </c:pt>
                <c:pt idx="120">
                  <c:v>50.355699999999999</c:v>
                </c:pt>
                <c:pt idx="121">
                  <c:v>43.043500000000002</c:v>
                </c:pt>
                <c:pt idx="122">
                  <c:v>54.094799999999999</c:v>
                </c:pt>
                <c:pt idx="123">
                  <c:v>58.123800000000003</c:v>
                </c:pt>
                <c:pt idx="124">
                  <c:v>46.731400000000001</c:v>
                </c:pt>
                <c:pt idx="125">
                  <c:v>52.677</c:v>
                </c:pt>
                <c:pt idx="126">
                  <c:v>46.006900000000002</c:v>
                </c:pt>
                <c:pt idx="127">
                  <c:v>48.7395</c:v>
                </c:pt>
                <c:pt idx="128">
                  <c:v>54.577500000000001</c:v>
                </c:pt>
                <c:pt idx="129">
                  <c:v>47.049900000000001</c:v>
                </c:pt>
                <c:pt idx="130">
                  <c:v>50.566899999999997</c:v>
                </c:pt>
                <c:pt idx="131">
                  <c:v>58.974400000000003</c:v>
                </c:pt>
                <c:pt idx="132">
                  <c:v>50.697699999999998</c:v>
                </c:pt>
                <c:pt idx="133">
                  <c:v>60.020800000000001</c:v>
                </c:pt>
                <c:pt idx="134">
                  <c:v>48.601399999999998</c:v>
                </c:pt>
                <c:pt idx="135">
                  <c:v>53.168999999999997</c:v>
                </c:pt>
                <c:pt idx="136">
                  <c:v>54.247700000000002</c:v>
                </c:pt>
                <c:pt idx="137">
                  <c:v>61.927700000000002</c:v>
                </c:pt>
                <c:pt idx="138">
                  <c:v>56.530200000000001</c:v>
                </c:pt>
                <c:pt idx="139">
                  <c:v>51.026400000000002</c:v>
                </c:pt>
                <c:pt idx="140">
                  <c:v>43.625500000000002</c:v>
                </c:pt>
                <c:pt idx="141">
                  <c:v>44.736800000000002</c:v>
                </c:pt>
                <c:pt idx="142">
                  <c:v>50.749499999999998</c:v>
                </c:pt>
                <c:pt idx="143">
                  <c:v>43.333300000000001</c:v>
                </c:pt>
                <c:pt idx="144">
                  <c:v>64.379099999999994</c:v>
                </c:pt>
                <c:pt idx="145">
                  <c:v>39.893599999999999</c:v>
                </c:pt>
                <c:pt idx="146">
                  <c:v>48.7654</c:v>
                </c:pt>
                <c:pt idx="147">
                  <c:v>44.360900000000001</c:v>
                </c:pt>
                <c:pt idx="148">
                  <c:v>43.703699999999998</c:v>
                </c:pt>
                <c:pt idx="149">
                  <c:v>49.273400000000002</c:v>
                </c:pt>
                <c:pt idx="150">
                  <c:v>55.462200000000003</c:v>
                </c:pt>
                <c:pt idx="151">
                  <c:v>52.631599999999999</c:v>
                </c:pt>
                <c:pt idx="152">
                  <c:v>43.3718</c:v>
                </c:pt>
                <c:pt idx="153">
                  <c:v>46.666699999999999</c:v>
                </c:pt>
              </c:numCache>
            </c:numRef>
          </c:val>
          <c:extLst>
            <c:ext xmlns:c16="http://schemas.microsoft.com/office/drawing/2014/chart" uri="{C3380CC4-5D6E-409C-BE32-E72D297353CC}">
              <c16:uniqueId val="{00000000-F9EB-4D69-AA60-61B90CEC01E5}"/>
            </c:ext>
          </c:extLst>
        </c:ser>
        <c:dLbls>
          <c:showLegendKey val="0"/>
          <c:showVal val="0"/>
          <c:showCatName val="0"/>
          <c:showSerName val="0"/>
          <c:showPercent val="0"/>
          <c:showBubbleSize val="0"/>
        </c:dLbls>
        <c:gapWidth val="219"/>
        <c:overlap val="-27"/>
        <c:axId val="571723551"/>
        <c:axId val="1392280895"/>
      </c:barChart>
      <c:catAx>
        <c:axId val="5717235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Local authorities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80895"/>
        <c:crosses val="autoZero"/>
        <c:auto val="1"/>
        <c:lblAlgn val="ctr"/>
        <c:lblOffset val="100"/>
        <c:noMultiLvlLbl val="0"/>
      </c:catAx>
      <c:valAx>
        <c:axId val="13922808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Value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72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ysClr val="windowText" lastClr="000000"/>
                </a:solidFill>
              </a:rPr>
              <a:t>Association Between Child Poverty and FSM Early Development (2024/25)</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Analysis_sheet!$C$199</c:f>
              <c:strCache>
                <c:ptCount val="1"/>
                <c:pt idx="0">
                  <c:v>B01b</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Analysis_sheet!$B$200:$B$353</c:f>
              <c:strCache>
                <c:ptCount val="154"/>
                <c:pt idx="0">
                  <c:v>England</c:v>
                </c:pt>
                <c:pt idx="1">
                  <c:v>City of London</c:v>
                </c:pt>
                <c:pt idx="2">
                  <c:v>Hackney</c:v>
                </c:pt>
                <c:pt idx="3">
                  <c:v>Westminster</c:v>
                </c:pt>
                <c:pt idx="4">
                  <c:v>Newham</c:v>
                </c:pt>
                <c:pt idx="5">
                  <c:v>Redbridge</c:v>
                </c:pt>
                <c:pt idx="6">
                  <c:v>Camden</c:v>
                </c:pt>
                <c:pt idx="7">
                  <c:v>Enfield</c:v>
                </c:pt>
                <c:pt idx="8">
                  <c:v>Slough</c:v>
                </c:pt>
                <c:pt idx="9">
                  <c:v>Waltham Forest</c:v>
                </c:pt>
                <c:pt idx="10">
                  <c:v>Brent</c:v>
                </c:pt>
                <c:pt idx="11">
                  <c:v>Greenwich</c:v>
                </c:pt>
                <c:pt idx="12">
                  <c:v>Haringey</c:v>
                </c:pt>
                <c:pt idx="13">
                  <c:v>Croydon</c:v>
                </c:pt>
                <c:pt idx="14">
                  <c:v>Tower Hamlets</c:v>
                </c:pt>
                <c:pt idx="15">
                  <c:v>Hammersmith and Fulham</c:v>
                </c:pt>
                <c:pt idx="16">
                  <c:v>Birmingham</c:v>
                </c:pt>
                <c:pt idx="17">
                  <c:v>Lambeth</c:v>
                </c:pt>
                <c:pt idx="18">
                  <c:v>Thurrock</c:v>
                </c:pt>
                <c:pt idx="19">
                  <c:v>Hillingdon</c:v>
                </c:pt>
                <c:pt idx="20">
                  <c:v>Stoke-on-Trent</c:v>
                </c:pt>
                <c:pt idx="21">
                  <c:v>Lewisham</c:v>
                </c:pt>
                <c:pt idx="22">
                  <c:v>Southwark</c:v>
                </c:pt>
                <c:pt idx="23">
                  <c:v>Islington</c:v>
                </c:pt>
                <c:pt idx="24">
                  <c:v>Bexley</c:v>
                </c:pt>
                <c:pt idx="25">
                  <c:v>Wandsworth</c:v>
                </c:pt>
                <c:pt idx="26">
                  <c:v>Kingston upon Hull</c:v>
                </c:pt>
                <c:pt idx="27">
                  <c:v>Southampton</c:v>
                </c:pt>
                <c:pt idx="28">
                  <c:v>Barnsley</c:v>
                </c:pt>
                <c:pt idx="29">
                  <c:v>Kensington and Chelsea</c:v>
                </c:pt>
                <c:pt idx="30">
                  <c:v>Havering</c:v>
                </c:pt>
                <c:pt idx="31">
                  <c:v>Barking and Dagenham</c:v>
                </c:pt>
                <c:pt idx="32">
                  <c:v>Ealing</c:v>
                </c:pt>
                <c:pt idx="33">
                  <c:v>Wokingham</c:v>
                </c:pt>
                <c:pt idx="34">
                  <c:v>Hounslow</c:v>
                </c:pt>
                <c:pt idx="35">
                  <c:v>South Tyneside</c:v>
                </c:pt>
                <c:pt idx="36">
                  <c:v>Barnet</c:v>
                </c:pt>
                <c:pt idx="37">
                  <c:v>North East Lincolnshire</c:v>
                </c:pt>
                <c:pt idx="38">
                  <c:v>Swindon</c:v>
                </c:pt>
                <c:pt idx="39">
                  <c:v>Leicester</c:v>
                </c:pt>
                <c:pt idx="40">
                  <c:v>Walsall</c:v>
                </c:pt>
                <c:pt idx="41">
                  <c:v>Stockton-on-Tees</c:v>
                </c:pt>
                <c:pt idx="42">
                  <c:v>Milton Keynes</c:v>
                </c:pt>
                <c:pt idx="43">
                  <c:v>Nottingham</c:v>
                </c:pt>
                <c:pt idx="44">
                  <c:v>Bournemouth, Christchurch and Poole</c:v>
                </c:pt>
                <c:pt idx="45">
                  <c:v>Salford</c:v>
                </c:pt>
                <c:pt idx="46">
                  <c:v>Merton</c:v>
                </c:pt>
                <c:pt idx="47">
                  <c:v>Isle of Wight</c:v>
                </c:pt>
                <c:pt idx="48">
                  <c:v>Doncaster</c:v>
                </c:pt>
                <c:pt idx="49">
                  <c:v>Middlesbrough</c:v>
                </c:pt>
                <c:pt idx="50">
                  <c:v>Solihull</c:v>
                </c:pt>
                <c:pt idx="51">
                  <c:v>Medway</c:v>
                </c:pt>
                <c:pt idx="52">
                  <c:v>Wakefield</c:v>
                </c:pt>
                <c:pt idx="53">
                  <c:v>Manchester</c:v>
                </c:pt>
                <c:pt idx="54">
                  <c:v>Sandwell</c:v>
                </c:pt>
                <c:pt idx="55">
                  <c:v>Sunderland</c:v>
                </c:pt>
                <c:pt idx="56">
                  <c:v>Wolverhampton</c:v>
                </c:pt>
                <c:pt idx="57">
                  <c:v>Luton</c:v>
                </c:pt>
                <c:pt idx="58">
                  <c:v>Knowsley</c:v>
                </c:pt>
                <c:pt idx="59">
                  <c:v>Bromley</c:v>
                </c:pt>
                <c:pt idx="60">
                  <c:v>Blackpool</c:v>
                </c:pt>
                <c:pt idx="61">
                  <c:v>Plymouth</c:v>
                </c:pt>
                <c:pt idx="62">
                  <c:v>Hartlepool</c:v>
                </c:pt>
                <c:pt idx="63">
                  <c:v>Derby</c:v>
                </c:pt>
                <c:pt idx="64">
                  <c:v>Richmond upon Thames</c:v>
                </c:pt>
                <c:pt idx="65">
                  <c:v>Bolton</c:v>
                </c:pt>
                <c:pt idx="66">
                  <c:v>Herefordshire</c:v>
                </c:pt>
                <c:pt idx="67">
                  <c:v>Newcastle upon Tyne</c:v>
                </c:pt>
                <c:pt idx="68">
                  <c:v>Halton</c:v>
                </c:pt>
                <c:pt idx="69">
                  <c:v>Cornwall</c:v>
                </c:pt>
                <c:pt idx="70">
                  <c:v>Warrington</c:v>
                </c:pt>
                <c:pt idx="71">
                  <c:v>Liverpool</c:v>
                </c:pt>
                <c:pt idx="72">
                  <c:v>Bury</c:v>
                </c:pt>
                <c:pt idx="73">
                  <c:v>West Northamptonshire</c:v>
                </c:pt>
                <c:pt idx="74">
                  <c:v>Torbay</c:v>
                </c:pt>
                <c:pt idx="75">
                  <c:v>Kent</c:v>
                </c:pt>
                <c:pt idx="76">
                  <c:v>Telford and Wrekin</c:v>
                </c:pt>
                <c:pt idx="77">
                  <c:v>Coventry</c:v>
                </c:pt>
                <c:pt idx="78">
                  <c:v>Kirklees</c:v>
                </c:pt>
                <c:pt idx="79">
                  <c:v>Southend-on-Sea</c:v>
                </c:pt>
                <c:pt idx="80">
                  <c:v>Reading</c:v>
                </c:pt>
                <c:pt idx="81">
                  <c:v>Staffordshire</c:v>
                </c:pt>
                <c:pt idx="82">
                  <c:v>Bradford</c:v>
                </c:pt>
                <c:pt idx="83">
                  <c:v>Essex</c:v>
                </c:pt>
                <c:pt idx="84">
                  <c:v>Hampshire</c:v>
                </c:pt>
                <c:pt idx="85">
                  <c:v>East Sussex</c:v>
                </c:pt>
                <c:pt idx="86">
                  <c:v>Lincolnshire</c:v>
                </c:pt>
                <c:pt idx="87">
                  <c:v>Kingston upon Thames</c:v>
                </c:pt>
                <c:pt idx="88">
                  <c:v>North Lincolnshire</c:v>
                </c:pt>
                <c:pt idx="89">
                  <c:v>Blackburn with Darwen</c:v>
                </c:pt>
                <c:pt idx="90">
                  <c:v>Wirral</c:v>
                </c:pt>
                <c:pt idx="91">
                  <c:v>Bristol</c:v>
                </c:pt>
                <c:pt idx="92">
                  <c:v>Wigan</c:v>
                </c:pt>
                <c:pt idx="93">
                  <c:v>Sutton</c:v>
                </c:pt>
                <c:pt idx="94">
                  <c:v>Harrow</c:v>
                </c:pt>
                <c:pt idx="95">
                  <c:v>Trafford</c:v>
                </c:pt>
                <c:pt idx="96">
                  <c:v>South Gloucestershire</c:v>
                </c:pt>
                <c:pt idx="97">
                  <c:v>Portsmouth</c:v>
                </c:pt>
                <c:pt idx="98">
                  <c:v>Somerset UA</c:v>
                </c:pt>
                <c:pt idx="99">
                  <c:v>Gloucestershire</c:v>
                </c:pt>
                <c:pt idx="100">
                  <c:v>Oldham</c:v>
                </c:pt>
                <c:pt idx="101">
                  <c:v>Peterborough</c:v>
                </c:pt>
                <c:pt idx="102">
                  <c:v>North Northamptonshire</c:v>
                </c:pt>
                <c:pt idx="103">
                  <c:v>Dudley</c:v>
                </c:pt>
                <c:pt idx="104">
                  <c:v>Bedford</c:v>
                </c:pt>
                <c:pt idx="105">
                  <c:v>Brighton and Hove</c:v>
                </c:pt>
                <c:pt idx="106">
                  <c:v>Gateshead</c:v>
                </c:pt>
                <c:pt idx="107">
                  <c:v>Derbyshire</c:v>
                </c:pt>
                <c:pt idx="108">
                  <c:v>Tameside</c:v>
                </c:pt>
                <c:pt idx="109">
                  <c:v>Buckinghamshire UA</c:v>
                </c:pt>
                <c:pt idx="110">
                  <c:v>Rochdale</c:v>
                </c:pt>
                <c:pt idx="111">
                  <c:v>Nottinghamshire</c:v>
                </c:pt>
                <c:pt idx="112">
                  <c:v>Suffolk</c:v>
                </c:pt>
                <c:pt idx="113">
                  <c:v>York</c:v>
                </c:pt>
                <c:pt idx="114">
                  <c:v>Sheffield</c:v>
                </c:pt>
                <c:pt idx="115">
                  <c:v>Northumberland</c:v>
                </c:pt>
                <c:pt idx="116">
                  <c:v>Devon</c:v>
                </c:pt>
                <c:pt idx="117">
                  <c:v>Redcar and Cleveland</c:v>
                </c:pt>
                <c:pt idx="118">
                  <c:v>Leicestershire</c:v>
                </c:pt>
                <c:pt idx="119">
                  <c:v>Norfolk</c:v>
                </c:pt>
                <c:pt idx="120">
                  <c:v>County Durham</c:v>
                </c:pt>
                <c:pt idx="121">
                  <c:v>Surrey</c:v>
                </c:pt>
                <c:pt idx="122">
                  <c:v>Lancashire</c:v>
                </c:pt>
                <c:pt idx="123">
                  <c:v>Leeds</c:v>
                </c:pt>
                <c:pt idx="124">
                  <c:v>Sefton</c:v>
                </c:pt>
                <c:pt idx="125">
                  <c:v>East Riding of Yorkshire</c:v>
                </c:pt>
                <c:pt idx="126">
                  <c:v>North Yorkshire UA</c:v>
                </c:pt>
                <c:pt idx="127">
                  <c:v>Cumberland</c:v>
                </c:pt>
                <c:pt idx="128">
                  <c:v>North Tyneside</c:v>
                </c:pt>
                <c:pt idx="129">
                  <c:v>St. Helens</c:v>
                </c:pt>
                <c:pt idx="130">
                  <c:v>Cambridgeshire</c:v>
                </c:pt>
                <c:pt idx="131">
                  <c:v>Cheshire West and Chester</c:v>
                </c:pt>
                <c:pt idx="132">
                  <c:v>Dorset</c:v>
                </c:pt>
                <c:pt idx="133">
                  <c:v>North Somerset</c:v>
                </c:pt>
                <c:pt idx="134">
                  <c:v>Darlington</c:v>
                </c:pt>
                <c:pt idx="135">
                  <c:v>West Berkshire</c:v>
                </c:pt>
                <c:pt idx="136">
                  <c:v>Calderdale</c:v>
                </c:pt>
                <c:pt idx="137">
                  <c:v>Wiltshire</c:v>
                </c:pt>
                <c:pt idx="138">
                  <c:v>Rotherham</c:v>
                </c:pt>
                <c:pt idx="139">
                  <c:v>Hertfordshire</c:v>
                </c:pt>
                <c:pt idx="140">
                  <c:v>Windsor and Maidenhead</c:v>
                </c:pt>
                <c:pt idx="141">
                  <c:v>Shropshire</c:v>
                </c:pt>
                <c:pt idx="142">
                  <c:v>Warwickshire</c:v>
                </c:pt>
                <c:pt idx="143">
                  <c:v>Central Bedfordshire</c:v>
                </c:pt>
                <c:pt idx="144">
                  <c:v>Worcestershire</c:v>
                </c:pt>
                <c:pt idx="145">
                  <c:v>West Sussex</c:v>
                </c:pt>
                <c:pt idx="146">
                  <c:v>Bracknell Forest</c:v>
                </c:pt>
                <c:pt idx="147">
                  <c:v>Oxfordshire</c:v>
                </c:pt>
                <c:pt idx="148">
                  <c:v>Stockport</c:v>
                </c:pt>
                <c:pt idx="149">
                  <c:v>Cheshire East</c:v>
                </c:pt>
                <c:pt idx="150">
                  <c:v>Westmorland and Furness</c:v>
                </c:pt>
                <c:pt idx="151">
                  <c:v>Bath and North East Somerset</c:v>
                </c:pt>
                <c:pt idx="152">
                  <c:v>Rutland</c:v>
                </c:pt>
                <c:pt idx="153">
                  <c:v>Isles of Scilly</c:v>
                </c:pt>
              </c:strCache>
            </c:strRef>
          </c:xVal>
          <c:yVal>
            <c:numRef>
              <c:f>Analysis_sheet!$C$200:$C$353</c:f>
              <c:numCache>
                <c:formatCode>General</c:formatCode>
                <c:ptCount val="154"/>
                <c:pt idx="0">
                  <c:v>51.257100000000001</c:v>
                </c:pt>
                <c:pt idx="1">
                  <c:v>100</c:v>
                </c:pt>
                <c:pt idx="2">
                  <c:v>65.905799999999999</c:v>
                </c:pt>
                <c:pt idx="3">
                  <c:v>64.379099999999994</c:v>
                </c:pt>
                <c:pt idx="4">
                  <c:v>64.182400000000001</c:v>
                </c:pt>
                <c:pt idx="5">
                  <c:v>63.636400000000002</c:v>
                </c:pt>
                <c:pt idx="6">
                  <c:v>63.145499999999998</c:v>
                </c:pt>
                <c:pt idx="7">
                  <c:v>62.331800000000001</c:v>
                </c:pt>
                <c:pt idx="8">
                  <c:v>61.980800000000002</c:v>
                </c:pt>
                <c:pt idx="9">
                  <c:v>61.927700000000002</c:v>
                </c:pt>
                <c:pt idx="10">
                  <c:v>61.283999999999999</c:v>
                </c:pt>
                <c:pt idx="11">
                  <c:v>61.021900000000002</c:v>
                </c:pt>
                <c:pt idx="12">
                  <c:v>60.411900000000003</c:v>
                </c:pt>
                <c:pt idx="13">
                  <c:v>60.216299999999997</c:v>
                </c:pt>
                <c:pt idx="14">
                  <c:v>60.020800000000001</c:v>
                </c:pt>
                <c:pt idx="15">
                  <c:v>59.745800000000003</c:v>
                </c:pt>
                <c:pt idx="16">
                  <c:v>59.481099999999998</c:v>
                </c:pt>
                <c:pt idx="17">
                  <c:v>59.128999999999998</c:v>
                </c:pt>
                <c:pt idx="18">
                  <c:v>58.974400000000003</c:v>
                </c:pt>
                <c:pt idx="19">
                  <c:v>58.134900000000002</c:v>
                </c:pt>
                <c:pt idx="20">
                  <c:v>58.123800000000003</c:v>
                </c:pt>
                <c:pt idx="21">
                  <c:v>58.070500000000003</c:v>
                </c:pt>
                <c:pt idx="22">
                  <c:v>57.1235</c:v>
                </c:pt>
                <c:pt idx="23">
                  <c:v>57.009300000000003</c:v>
                </c:pt>
                <c:pt idx="24">
                  <c:v>56.901400000000002</c:v>
                </c:pt>
                <c:pt idx="25">
                  <c:v>56.530200000000001</c:v>
                </c:pt>
                <c:pt idx="26">
                  <c:v>56.13</c:v>
                </c:pt>
                <c:pt idx="27">
                  <c:v>56.042299999999997</c:v>
                </c:pt>
                <c:pt idx="28">
                  <c:v>55.974800000000002</c:v>
                </c:pt>
                <c:pt idx="29">
                  <c:v>55.814</c:v>
                </c:pt>
                <c:pt idx="30">
                  <c:v>55.6995</c:v>
                </c:pt>
                <c:pt idx="31">
                  <c:v>55.6845</c:v>
                </c:pt>
                <c:pt idx="32">
                  <c:v>55.555599999999998</c:v>
                </c:pt>
                <c:pt idx="33">
                  <c:v>55.462200000000003</c:v>
                </c:pt>
                <c:pt idx="34">
                  <c:v>55.0914</c:v>
                </c:pt>
                <c:pt idx="35">
                  <c:v>55</c:v>
                </c:pt>
                <c:pt idx="36">
                  <c:v>55</c:v>
                </c:pt>
                <c:pt idx="37">
                  <c:v>54.615400000000001</c:v>
                </c:pt>
                <c:pt idx="38">
                  <c:v>54.577500000000001</c:v>
                </c:pt>
                <c:pt idx="39">
                  <c:v>54.505800000000001</c:v>
                </c:pt>
                <c:pt idx="40">
                  <c:v>54.247700000000002</c:v>
                </c:pt>
                <c:pt idx="41">
                  <c:v>54.094799999999999</c:v>
                </c:pt>
                <c:pt idx="42">
                  <c:v>54.021000000000001</c:v>
                </c:pt>
                <c:pt idx="43">
                  <c:v>53.846200000000003</c:v>
                </c:pt>
                <c:pt idx="44">
                  <c:v>53.829300000000003</c:v>
                </c:pt>
                <c:pt idx="45">
                  <c:v>53.791499999999999</c:v>
                </c:pt>
                <c:pt idx="46">
                  <c:v>53.6145</c:v>
                </c:pt>
                <c:pt idx="47">
                  <c:v>53.543300000000002</c:v>
                </c:pt>
                <c:pt idx="48">
                  <c:v>53.507599999999996</c:v>
                </c:pt>
                <c:pt idx="49">
                  <c:v>53.472200000000001</c:v>
                </c:pt>
                <c:pt idx="50">
                  <c:v>53.378399999999999</c:v>
                </c:pt>
                <c:pt idx="51">
                  <c:v>53.172199999999997</c:v>
                </c:pt>
                <c:pt idx="52">
                  <c:v>53.168999999999997</c:v>
                </c:pt>
                <c:pt idx="53">
                  <c:v>53.0854</c:v>
                </c:pt>
                <c:pt idx="54">
                  <c:v>53.0075</c:v>
                </c:pt>
                <c:pt idx="55">
                  <c:v>52.677</c:v>
                </c:pt>
                <c:pt idx="56">
                  <c:v>52.631599999999999</c:v>
                </c:pt>
                <c:pt idx="57">
                  <c:v>52.553199999999997</c:v>
                </c:pt>
                <c:pt idx="58">
                  <c:v>52.4</c:v>
                </c:pt>
                <c:pt idx="59">
                  <c:v>52.339199999999998</c:v>
                </c:pt>
                <c:pt idx="60">
                  <c:v>52.300199999999997</c:v>
                </c:pt>
                <c:pt idx="61">
                  <c:v>52.295900000000003</c:v>
                </c:pt>
                <c:pt idx="62">
                  <c:v>52.215200000000003</c:v>
                </c:pt>
                <c:pt idx="63">
                  <c:v>52.068100000000001</c:v>
                </c:pt>
                <c:pt idx="64">
                  <c:v>52.040799999999997</c:v>
                </c:pt>
                <c:pt idx="65">
                  <c:v>51.704500000000003</c:v>
                </c:pt>
                <c:pt idx="66">
                  <c:v>51.658799999999999</c:v>
                </c:pt>
                <c:pt idx="67">
                  <c:v>51.542900000000003</c:v>
                </c:pt>
                <c:pt idx="68">
                  <c:v>51.5152</c:v>
                </c:pt>
                <c:pt idx="69">
                  <c:v>51.502099999999999</c:v>
                </c:pt>
                <c:pt idx="70">
                  <c:v>51.026400000000002</c:v>
                </c:pt>
                <c:pt idx="71">
                  <c:v>51.007899999999999</c:v>
                </c:pt>
                <c:pt idx="72">
                  <c:v>50.915799999999997</c:v>
                </c:pt>
                <c:pt idx="73">
                  <c:v>50.749499999999998</c:v>
                </c:pt>
                <c:pt idx="74">
                  <c:v>50.697699999999998</c:v>
                </c:pt>
                <c:pt idx="75">
                  <c:v>50.670099999999998</c:v>
                </c:pt>
                <c:pt idx="76">
                  <c:v>50.566899999999997</c:v>
                </c:pt>
                <c:pt idx="77">
                  <c:v>50.540500000000002</c:v>
                </c:pt>
                <c:pt idx="78">
                  <c:v>50.488999999999997</c:v>
                </c:pt>
                <c:pt idx="79">
                  <c:v>50.470199999999998</c:v>
                </c:pt>
                <c:pt idx="80">
                  <c:v>50.416699999999999</c:v>
                </c:pt>
                <c:pt idx="81">
                  <c:v>50.355699999999999</c:v>
                </c:pt>
                <c:pt idx="82">
                  <c:v>50.351500000000001</c:v>
                </c:pt>
                <c:pt idx="83">
                  <c:v>50.330300000000001</c:v>
                </c:pt>
                <c:pt idx="84">
                  <c:v>50.240299999999998</c:v>
                </c:pt>
                <c:pt idx="85">
                  <c:v>50.059899999999999</c:v>
                </c:pt>
                <c:pt idx="86">
                  <c:v>50</c:v>
                </c:pt>
                <c:pt idx="87">
                  <c:v>49.710999999999999</c:v>
                </c:pt>
                <c:pt idx="88">
                  <c:v>49.693300000000001</c:v>
                </c:pt>
                <c:pt idx="89">
                  <c:v>49.520800000000001</c:v>
                </c:pt>
                <c:pt idx="90">
                  <c:v>49.273400000000002</c:v>
                </c:pt>
                <c:pt idx="91">
                  <c:v>49.005200000000002</c:v>
                </c:pt>
                <c:pt idx="92">
                  <c:v>48.7654</c:v>
                </c:pt>
                <c:pt idx="93">
                  <c:v>48.7395</c:v>
                </c:pt>
                <c:pt idx="94">
                  <c:v>48.736499999999999</c:v>
                </c:pt>
                <c:pt idx="95">
                  <c:v>48.601399999999998</c:v>
                </c:pt>
                <c:pt idx="96">
                  <c:v>48.581600000000002</c:v>
                </c:pt>
                <c:pt idx="97">
                  <c:v>48.4848</c:v>
                </c:pt>
                <c:pt idx="98">
                  <c:v>48.441600000000001</c:v>
                </c:pt>
                <c:pt idx="99">
                  <c:v>48.333300000000001</c:v>
                </c:pt>
                <c:pt idx="100">
                  <c:v>48.191000000000003</c:v>
                </c:pt>
                <c:pt idx="101">
                  <c:v>47.9452</c:v>
                </c:pt>
                <c:pt idx="102">
                  <c:v>47.858499999999999</c:v>
                </c:pt>
                <c:pt idx="103">
                  <c:v>47.478299999999997</c:v>
                </c:pt>
                <c:pt idx="104">
                  <c:v>47.452199999999998</c:v>
                </c:pt>
                <c:pt idx="105">
                  <c:v>47.344099999999997</c:v>
                </c:pt>
                <c:pt idx="106">
                  <c:v>47.117800000000003</c:v>
                </c:pt>
                <c:pt idx="107">
                  <c:v>47.096800000000002</c:v>
                </c:pt>
                <c:pt idx="108">
                  <c:v>47.049900000000001</c:v>
                </c:pt>
                <c:pt idx="109">
                  <c:v>46.955100000000002</c:v>
                </c:pt>
                <c:pt idx="110">
                  <c:v>46.954799999999999</c:v>
                </c:pt>
                <c:pt idx="111">
                  <c:v>46.827300000000001</c:v>
                </c:pt>
                <c:pt idx="112">
                  <c:v>46.731400000000001</c:v>
                </c:pt>
                <c:pt idx="113">
                  <c:v>46.666699999999999</c:v>
                </c:pt>
                <c:pt idx="114">
                  <c:v>46.5261</c:v>
                </c:pt>
                <c:pt idx="115">
                  <c:v>46.376800000000003</c:v>
                </c:pt>
                <c:pt idx="116">
                  <c:v>46.311500000000002</c:v>
                </c:pt>
                <c:pt idx="117">
                  <c:v>46.218499999999999</c:v>
                </c:pt>
                <c:pt idx="118">
                  <c:v>46.134300000000003</c:v>
                </c:pt>
                <c:pt idx="119">
                  <c:v>46.045699999999997</c:v>
                </c:pt>
                <c:pt idx="120">
                  <c:v>46.010800000000003</c:v>
                </c:pt>
                <c:pt idx="121">
                  <c:v>46.006900000000002</c:v>
                </c:pt>
                <c:pt idx="122">
                  <c:v>46.005499999999998</c:v>
                </c:pt>
                <c:pt idx="123">
                  <c:v>45.826900000000002</c:v>
                </c:pt>
                <c:pt idx="124">
                  <c:v>45.824800000000003</c:v>
                </c:pt>
                <c:pt idx="125">
                  <c:v>45.821300000000001</c:v>
                </c:pt>
                <c:pt idx="126">
                  <c:v>45.537100000000002</c:v>
                </c:pt>
                <c:pt idx="127">
                  <c:v>45.382599999999996</c:v>
                </c:pt>
                <c:pt idx="128">
                  <c:v>45.238100000000003</c:v>
                </c:pt>
                <c:pt idx="129">
                  <c:v>45.082000000000001</c:v>
                </c:pt>
                <c:pt idx="130">
                  <c:v>45.069000000000003</c:v>
                </c:pt>
                <c:pt idx="131">
                  <c:v>45.045000000000002</c:v>
                </c:pt>
                <c:pt idx="132">
                  <c:v>45.031100000000002</c:v>
                </c:pt>
                <c:pt idx="133">
                  <c:v>44.886400000000002</c:v>
                </c:pt>
                <c:pt idx="134">
                  <c:v>44.748899999999999</c:v>
                </c:pt>
                <c:pt idx="135">
                  <c:v>44.736800000000002</c:v>
                </c:pt>
                <c:pt idx="136">
                  <c:v>44.469000000000001</c:v>
                </c:pt>
                <c:pt idx="137">
                  <c:v>44.360900000000001</c:v>
                </c:pt>
                <c:pt idx="138">
                  <c:v>44.241300000000003</c:v>
                </c:pt>
                <c:pt idx="139">
                  <c:v>43.852200000000003</c:v>
                </c:pt>
                <c:pt idx="140">
                  <c:v>43.703699999999998</c:v>
                </c:pt>
                <c:pt idx="141">
                  <c:v>43.689300000000003</c:v>
                </c:pt>
                <c:pt idx="142">
                  <c:v>43.625500000000002</c:v>
                </c:pt>
                <c:pt idx="143">
                  <c:v>43.445700000000002</c:v>
                </c:pt>
                <c:pt idx="144">
                  <c:v>43.3718</c:v>
                </c:pt>
                <c:pt idx="145">
                  <c:v>43.333300000000001</c:v>
                </c:pt>
                <c:pt idx="146">
                  <c:v>43.243200000000002</c:v>
                </c:pt>
                <c:pt idx="147">
                  <c:v>43.137300000000003</c:v>
                </c:pt>
                <c:pt idx="148">
                  <c:v>43.043500000000002</c:v>
                </c:pt>
                <c:pt idx="149">
                  <c:v>42.637999999999998</c:v>
                </c:pt>
                <c:pt idx="150">
                  <c:v>39.893599999999999</c:v>
                </c:pt>
                <c:pt idx="151">
                  <c:v>38.219900000000003</c:v>
                </c:pt>
                <c:pt idx="152">
                  <c:v>33.333300000000001</c:v>
                </c:pt>
                <c:pt idx="153">
                  <c:v>0</c:v>
                </c:pt>
              </c:numCache>
            </c:numRef>
          </c:yVal>
          <c:smooth val="0"/>
          <c:extLst>
            <c:ext xmlns:c16="http://schemas.microsoft.com/office/drawing/2014/chart" uri="{C3380CC4-5D6E-409C-BE32-E72D297353CC}">
              <c16:uniqueId val="{00000000-6543-4E0A-BBC9-7F7D09966493}"/>
            </c:ext>
          </c:extLst>
        </c:ser>
        <c:ser>
          <c:idx val="1"/>
          <c:order val="1"/>
          <c:tx>
            <c:strRef>
              <c:f>Analysis_sheet!$D$199</c:f>
              <c:strCache>
                <c:ptCount val="1"/>
                <c:pt idx="0">
                  <c:v>B02a</c:v>
                </c:pt>
              </c:strCache>
            </c:strRef>
          </c:tx>
          <c:spPr>
            <a:ln w="381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strRef>
              <c:f>Analysis_sheet!$B$200:$B$353</c:f>
              <c:strCache>
                <c:ptCount val="154"/>
                <c:pt idx="0">
                  <c:v>England</c:v>
                </c:pt>
                <c:pt idx="1">
                  <c:v>City of London</c:v>
                </c:pt>
                <c:pt idx="2">
                  <c:v>Hackney</c:v>
                </c:pt>
                <c:pt idx="3">
                  <c:v>Westminster</c:v>
                </c:pt>
                <c:pt idx="4">
                  <c:v>Newham</c:v>
                </c:pt>
                <c:pt idx="5">
                  <c:v>Redbridge</c:v>
                </c:pt>
                <c:pt idx="6">
                  <c:v>Camden</c:v>
                </c:pt>
                <c:pt idx="7">
                  <c:v>Enfield</c:v>
                </c:pt>
                <c:pt idx="8">
                  <c:v>Slough</c:v>
                </c:pt>
                <c:pt idx="9">
                  <c:v>Waltham Forest</c:v>
                </c:pt>
                <c:pt idx="10">
                  <c:v>Brent</c:v>
                </c:pt>
                <c:pt idx="11">
                  <c:v>Greenwich</c:v>
                </c:pt>
                <c:pt idx="12">
                  <c:v>Haringey</c:v>
                </c:pt>
                <c:pt idx="13">
                  <c:v>Croydon</c:v>
                </c:pt>
                <c:pt idx="14">
                  <c:v>Tower Hamlets</c:v>
                </c:pt>
                <c:pt idx="15">
                  <c:v>Hammersmith and Fulham</c:v>
                </c:pt>
                <c:pt idx="16">
                  <c:v>Birmingham</c:v>
                </c:pt>
                <c:pt idx="17">
                  <c:v>Lambeth</c:v>
                </c:pt>
                <c:pt idx="18">
                  <c:v>Thurrock</c:v>
                </c:pt>
                <c:pt idx="19">
                  <c:v>Hillingdon</c:v>
                </c:pt>
                <c:pt idx="20">
                  <c:v>Stoke-on-Trent</c:v>
                </c:pt>
                <c:pt idx="21">
                  <c:v>Lewisham</c:v>
                </c:pt>
                <c:pt idx="22">
                  <c:v>Southwark</c:v>
                </c:pt>
                <c:pt idx="23">
                  <c:v>Islington</c:v>
                </c:pt>
                <c:pt idx="24">
                  <c:v>Bexley</c:v>
                </c:pt>
                <c:pt idx="25">
                  <c:v>Wandsworth</c:v>
                </c:pt>
                <c:pt idx="26">
                  <c:v>Kingston upon Hull</c:v>
                </c:pt>
                <c:pt idx="27">
                  <c:v>Southampton</c:v>
                </c:pt>
                <c:pt idx="28">
                  <c:v>Barnsley</c:v>
                </c:pt>
                <c:pt idx="29">
                  <c:v>Kensington and Chelsea</c:v>
                </c:pt>
                <c:pt idx="30">
                  <c:v>Havering</c:v>
                </c:pt>
                <c:pt idx="31">
                  <c:v>Barking and Dagenham</c:v>
                </c:pt>
                <c:pt idx="32">
                  <c:v>Ealing</c:v>
                </c:pt>
                <c:pt idx="33">
                  <c:v>Wokingham</c:v>
                </c:pt>
                <c:pt idx="34">
                  <c:v>Hounslow</c:v>
                </c:pt>
                <c:pt idx="35">
                  <c:v>South Tyneside</c:v>
                </c:pt>
                <c:pt idx="36">
                  <c:v>Barnet</c:v>
                </c:pt>
                <c:pt idx="37">
                  <c:v>North East Lincolnshire</c:v>
                </c:pt>
                <c:pt idx="38">
                  <c:v>Swindon</c:v>
                </c:pt>
                <c:pt idx="39">
                  <c:v>Leicester</c:v>
                </c:pt>
                <c:pt idx="40">
                  <c:v>Walsall</c:v>
                </c:pt>
                <c:pt idx="41">
                  <c:v>Stockton-on-Tees</c:v>
                </c:pt>
                <c:pt idx="42">
                  <c:v>Milton Keynes</c:v>
                </c:pt>
                <c:pt idx="43">
                  <c:v>Nottingham</c:v>
                </c:pt>
                <c:pt idx="44">
                  <c:v>Bournemouth, Christchurch and Poole</c:v>
                </c:pt>
                <c:pt idx="45">
                  <c:v>Salford</c:v>
                </c:pt>
                <c:pt idx="46">
                  <c:v>Merton</c:v>
                </c:pt>
                <c:pt idx="47">
                  <c:v>Isle of Wight</c:v>
                </c:pt>
                <c:pt idx="48">
                  <c:v>Doncaster</c:v>
                </c:pt>
                <c:pt idx="49">
                  <c:v>Middlesbrough</c:v>
                </c:pt>
                <c:pt idx="50">
                  <c:v>Solihull</c:v>
                </c:pt>
                <c:pt idx="51">
                  <c:v>Medway</c:v>
                </c:pt>
                <c:pt idx="52">
                  <c:v>Wakefield</c:v>
                </c:pt>
                <c:pt idx="53">
                  <c:v>Manchester</c:v>
                </c:pt>
                <c:pt idx="54">
                  <c:v>Sandwell</c:v>
                </c:pt>
                <c:pt idx="55">
                  <c:v>Sunderland</c:v>
                </c:pt>
                <c:pt idx="56">
                  <c:v>Wolverhampton</c:v>
                </c:pt>
                <c:pt idx="57">
                  <c:v>Luton</c:v>
                </c:pt>
                <c:pt idx="58">
                  <c:v>Knowsley</c:v>
                </c:pt>
                <c:pt idx="59">
                  <c:v>Bromley</c:v>
                </c:pt>
                <c:pt idx="60">
                  <c:v>Blackpool</c:v>
                </c:pt>
                <c:pt idx="61">
                  <c:v>Plymouth</c:v>
                </c:pt>
                <c:pt idx="62">
                  <c:v>Hartlepool</c:v>
                </c:pt>
                <c:pt idx="63">
                  <c:v>Derby</c:v>
                </c:pt>
                <c:pt idx="64">
                  <c:v>Richmond upon Thames</c:v>
                </c:pt>
                <c:pt idx="65">
                  <c:v>Bolton</c:v>
                </c:pt>
                <c:pt idx="66">
                  <c:v>Herefordshire</c:v>
                </c:pt>
                <c:pt idx="67">
                  <c:v>Newcastle upon Tyne</c:v>
                </c:pt>
                <c:pt idx="68">
                  <c:v>Halton</c:v>
                </c:pt>
                <c:pt idx="69">
                  <c:v>Cornwall</c:v>
                </c:pt>
                <c:pt idx="70">
                  <c:v>Warrington</c:v>
                </c:pt>
                <c:pt idx="71">
                  <c:v>Liverpool</c:v>
                </c:pt>
                <c:pt idx="72">
                  <c:v>Bury</c:v>
                </c:pt>
                <c:pt idx="73">
                  <c:v>West Northamptonshire</c:v>
                </c:pt>
                <c:pt idx="74">
                  <c:v>Torbay</c:v>
                </c:pt>
                <c:pt idx="75">
                  <c:v>Kent</c:v>
                </c:pt>
                <c:pt idx="76">
                  <c:v>Telford and Wrekin</c:v>
                </c:pt>
                <c:pt idx="77">
                  <c:v>Coventry</c:v>
                </c:pt>
                <c:pt idx="78">
                  <c:v>Kirklees</c:v>
                </c:pt>
                <c:pt idx="79">
                  <c:v>Southend-on-Sea</c:v>
                </c:pt>
                <c:pt idx="80">
                  <c:v>Reading</c:v>
                </c:pt>
                <c:pt idx="81">
                  <c:v>Staffordshire</c:v>
                </c:pt>
                <c:pt idx="82">
                  <c:v>Bradford</c:v>
                </c:pt>
                <c:pt idx="83">
                  <c:v>Essex</c:v>
                </c:pt>
                <c:pt idx="84">
                  <c:v>Hampshire</c:v>
                </c:pt>
                <c:pt idx="85">
                  <c:v>East Sussex</c:v>
                </c:pt>
                <c:pt idx="86">
                  <c:v>Lincolnshire</c:v>
                </c:pt>
                <c:pt idx="87">
                  <c:v>Kingston upon Thames</c:v>
                </c:pt>
                <c:pt idx="88">
                  <c:v>North Lincolnshire</c:v>
                </c:pt>
                <c:pt idx="89">
                  <c:v>Blackburn with Darwen</c:v>
                </c:pt>
                <c:pt idx="90">
                  <c:v>Wirral</c:v>
                </c:pt>
                <c:pt idx="91">
                  <c:v>Bristol</c:v>
                </c:pt>
                <c:pt idx="92">
                  <c:v>Wigan</c:v>
                </c:pt>
                <c:pt idx="93">
                  <c:v>Sutton</c:v>
                </c:pt>
                <c:pt idx="94">
                  <c:v>Harrow</c:v>
                </c:pt>
                <c:pt idx="95">
                  <c:v>Trafford</c:v>
                </c:pt>
                <c:pt idx="96">
                  <c:v>South Gloucestershire</c:v>
                </c:pt>
                <c:pt idx="97">
                  <c:v>Portsmouth</c:v>
                </c:pt>
                <c:pt idx="98">
                  <c:v>Somerset UA</c:v>
                </c:pt>
                <c:pt idx="99">
                  <c:v>Gloucestershire</c:v>
                </c:pt>
                <c:pt idx="100">
                  <c:v>Oldham</c:v>
                </c:pt>
                <c:pt idx="101">
                  <c:v>Peterborough</c:v>
                </c:pt>
                <c:pt idx="102">
                  <c:v>North Northamptonshire</c:v>
                </c:pt>
                <c:pt idx="103">
                  <c:v>Dudley</c:v>
                </c:pt>
                <c:pt idx="104">
                  <c:v>Bedford</c:v>
                </c:pt>
                <c:pt idx="105">
                  <c:v>Brighton and Hove</c:v>
                </c:pt>
                <c:pt idx="106">
                  <c:v>Gateshead</c:v>
                </c:pt>
                <c:pt idx="107">
                  <c:v>Derbyshire</c:v>
                </c:pt>
                <c:pt idx="108">
                  <c:v>Tameside</c:v>
                </c:pt>
                <c:pt idx="109">
                  <c:v>Buckinghamshire UA</c:v>
                </c:pt>
                <c:pt idx="110">
                  <c:v>Rochdale</c:v>
                </c:pt>
                <c:pt idx="111">
                  <c:v>Nottinghamshire</c:v>
                </c:pt>
                <c:pt idx="112">
                  <c:v>Suffolk</c:v>
                </c:pt>
                <c:pt idx="113">
                  <c:v>York</c:v>
                </c:pt>
                <c:pt idx="114">
                  <c:v>Sheffield</c:v>
                </c:pt>
                <c:pt idx="115">
                  <c:v>Northumberland</c:v>
                </c:pt>
                <c:pt idx="116">
                  <c:v>Devon</c:v>
                </c:pt>
                <c:pt idx="117">
                  <c:v>Redcar and Cleveland</c:v>
                </c:pt>
                <c:pt idx="118">
                  <c:v>Leicestershire</c:v>
                </c:pt>
                <c:pt idx="119">
                  <c:v>Norfolk</c:v>
                </c:pt>
                <c:pt idx="120">
                  <c:v>County Durham</c:v>
                </c:pt>
                <c:pt idx="121">
                  <c:v>Surrey</c:v>
                </c:pt>
                <c:pt idx="122">
                  <c:v>Lancashire</c:v>
                </c:pt>
                <c:pt idx="123">
                  <c:v>Leeds</c:v>
                </c:pt>
                <c:pt idx="124">
                  <c:v>Sefton</c:v>
                </c:pt>
                <c:pt idx="125">
                  <c:v>East Riding of Yorkshire</c:v>
                </c:pt>
                <c:pt idx="126">
                  <c:v>North Yorkshire UA</c:v>
                </c:pt>
                <c:pt idx="127">
                  <c:v>Cumberland</c:v>
                </c:pt>
                <c:pt idx="128">
                  <c:v>North Tyneside</c:v>
                </c:pt>
                <c:pt idx="129">
                  <c:v>St. Helens</c:v>
                </c:pt>
                <c:pt idx="130">
                  <c:v>Cambridgeshire</c:v>
                </c:pt>
                <c:pt idx="131">
                  <c:v>Cheshire West and Chester</c:v>
                </c:pt>
                <c:pt idx="132">
                  <c:v>Dorset</c:v>
                </c:pt>
                <c:pt idx="133">
                  <c:v>North Somerset</c:v>
                </c:pt>
                <c:pt idx="134">
                  <c:v>Darlington</c:v>
                </c:pt>
                <c:pt idx="135">
                  <c:v>West Berkshire</c:v>
                </c:pt>
                <c:pt idx="136">
                  <c:v>Calderdale</c:v>
                </c:pt>
                <c:pt idx="137">
                  <c:v>Wiltshire</c:v>
                </c:pt>
                <c:pt idx="138">
                  <c:v>Rotherham</c:v>
                </c:pt>
                <c:pt idx="139">
                  <c:v>Hertfordshire</c:v>
                </c:pt>
                <c:pt idx="140">
                  <c:v>Windsor and Maidenhead</c:v>
                </c:pt>
                <c:pt idx="141">
                  <c:v>Shropshire</c:v>
                </c:pt>
                <c:pt idx="142">
                  <c:v>Warwickshire</c:v>
                </c:pt>
                <c:pt idx="143">
                  <c:v>Central Bedfordshire</c:v>
                </c:pt>
                <c:pt idx="144">
                  <c:v>Worcestershire</c:v>
                </c:pt>
                <c:pt idx="145">
                  <c:v>West Sussex</c:v>
                </c:pt>
                <c:pt idx="146">
                  <c:v>Bracknell Forest</c:v>
                </c:pt>
                <c:pt idx="147">
                  <c:v>Oxfordshire</c:v>
                </c:pt>
                <c:pt idx="148">
                  <c:v>Stockport</c:v>
                </c:pt>
                <c:pt idx="149">
                  <c:v>Cheshire East</c:v>
                </c:pt>
                <c:pt idx="150">
                  <c:v>Westmorland and Furness</c:v>
                </c:pt>
                <c:pt idx="151">
                  <c:v>Bath and North East Somerset</c:v>
                </c:pt>
                <c:pt idx="152">
                  <c:v>Rutland</c:v>
                </c:pt>
                <c:pt idx="153">
                  <c:v>Isles of Scilly</c:v>
                </c:pt>
              </c:strCache>
            </c:strRef>
          </c:xVal>
          <c:yVal>
            <c:numRef>
              <c:f>Analysis_sheet!$D$200:$D$353</c:f>
              <c:numCache>
                <c:formatCode>General</c:formatCode>
                <c:ptCount val="154"/>
                <c:pt idx="0">
                  <c:v>19.8</c:v>
                </c:pt>
                <c:pt idx="1">
                  <c:v>6.9</c:v>
                </c:pt>
                <c:pt idx="2">
                  <c:v>21.2</c:v>
                </c:pt>
                <c:pt idx="3">
                  <c:v>12.7</c:v>
                </c:pt>
                <c:pt idx="4">
                  <c:v>23</c:v>
                </c:pt>
                <c:pt idx="5">
                  <c:v>16.600000000000001</c:v>
                </c:pt>
                <c:pt idx="6">
                  <c:v>16.399999999999999</c:v>
                </c:pt>
                <c:pt idx="7">
                  <c:v>15.2</c:v>
                </c:pt>
                <c:pt idx="8">
                  <c:v>19.3</c:v>
                </c:pt>
                <c:pt idx="9">
                  <c:v>18.2</c:v>
                </c:pt>
                <c:pt idx="10">
                  <c:v>18.5</c:v>
                </c:pt>
                <c:pt idx="11">
                  <c:v>17.2</c:v>
                </c:pt>
                <c:pt idx="12">
                  <c:v>16.5</c:v>
                </c:pt>
                <c:pt idx="13">
                  <c:v>16.399999999999999</c:v>
                </c:pt>
                <c:pt idx="14">
                  <c:v>26.7</c:v>
                </c:pt>
                <c:pt idx="15">
                  <c:v>12.9</c:v>
                </c:pt>
                <c:pt idx="16">
                  <c:v>39.5</c:v>
                </c:pt>
                <c:pt idx="17">
                  <c:v>17</c:v>
                </c:pt>
                <c:pt idx="18">
                  <c:v>18.399999999999999</c:v>
                </c:pt>
                <c:pt idx="19">
                  <c:v>15.1</c:v>
                </c:pt>
                <c:pt idx="20">
                  <c:v>35</c:v>
                </c:pt>
                <c:pt idx="21">
                  <c:v>15.5</c:v>
                </c:pt>
                <c:pt idx="22">
                  <c:v>18.399999999999999</c:v>
                </c:pt>
                <c:pt idx="23">
                  <c:v>19.399999999999999</c:v>
                </c:pt>
                <c:pt idx="24">
                  <c:v>11.4</c:v>
                </c:pt>
                <c:pt idx="25">
                  <c:v>12.6</c:v>
                </c:pt>
                <c:pt idx="26">
                  <c:v>33.200000000000003</c:v>
                </c:pt>
                <c:pt idx="27">
                  <c:v>21.8</c:v>
                </c:pt>
                <c:pt idx="28">
                  <c:v>28.2</c:v>
                </c:pt>
                <c:pt idx="29">
                  <c:v>8</c:v>
                </c:pt>
                <c:pt idx="30">
                  <c:v>13.2</c:v>
                </c:pt>
                <c:pt idx="31">
                  <c:v>23</c:v>
                </c:pt>
                <c:pt idx="32">
                  <c:v>15.7</c:v>
                </c:pt>
                <c:pt idx="33">
                  <c:v>6.4</c:v>
                </c:pt>
                <c:pt idx="34">
                  <c:v>16.5</c:v>
                </c:pt>
                <c:pt idx="35">
                  <c:v>26.5</c:v>
                </c:pt>
                <c:pt idx="36">
                  <c:v>11.2</c:v>
                </c:pt>
                <c:pt idx="37">
                  <c:v>30.8</c:v>
                </c:pt>
                <c:pt idx="38">
                  <c:v>16</c:v>
                </c:pt>
                <c:pt idx="39">
                  <c:v>34.5</c:v>
                </c:pt>
                <c:pt idx="40">
                  <c:v>32.799999999999997</c:v>
                </c:pt>
                <c:pt idx="41">
                  <c:v>22.3</c:v>
                </c:pt>
                <c:pt idx="42">
                  <c:v>15.3</c:v>
                </c:pt>
                <c:pt idx="43">
                  <c:v>33.700000000000003</c:v>
                </c:pt>
                <c:pt idx="44">
                  <c:v>14.5</c:v>
                </c:pt>
                <c:pt idx="45">
                  <c:v>25.4</c:v>
                </c:pt>
                <c:pt idx="46">
                  <c:v>11.6</c:v>
                </c:pt>
                <c:pt idx="47">
                  <c:v>23.5</c:v>
                </c:pt>
                <c:pt idx="48">
                  <c:v>31</c:v>
                </c:pt>
                <c:pt idx="49">
                  <c:v>34.4</c:v>
                </c:pt>
                <c:pt idx="50">
                  <c:v>15.2</c:v>
                </c:pt>
                <c:pt idx="51">
                  <c:v>17.399999999999999</c:v>
                </c:pt>
                <c:pt idx="52">
                  <c:v>23</c:v>
                </c:pt>
                <c:pt idx="53">
                  <c:v>35.5</c:v>
                </c:pt>
                <c:pt idx="54">
                  <c:v>35.5</c:v>
                </c:pt>
                <c:pt idx="55">
                  <c:v>25.7</c:v>
                </c:pt>
                <c:pt idx="56">
                  <c:v>32.9</c:v>
                </c:pt>
                <c:pt idx="57">
                  <c:v>31.7</c:v>
                </c:pt>
                <c:pt idx="58">
                  <c:v>24.5</c:v>
                </c:pt>
                <c:pt idx="59">
                  <c:v>8.1999999999999993</c:v>
                </c:pt>
                <c:pt idx="60">
                  <c:v>30.5</c:v>
                </c:pt>
                <c:pt idx="61">
                  <c:v>20.7</c:v>
                </c:pt>
                <c:pt idx="62">
                  <c:v>27.2</c:v>
                </c:pt>
                <c:pt idx="63">
                  <c:v>27.9</c:v>
                </c:pt>
                <c:pt idx="64">
                  <c:v>5.2</c:v>
                </c:pt>
                <c:pt idx="65">
                  <c:v>33.200000000000003</c:v>
                </c:pt>
                <c:pt idx="66">
                  <c:v>19.8</c:v>
                </c:pt>
                <c:pt idx="67">
                  <c:v>26.7</c:v>
                </c:pt>
                <c:pt idx="68">
                  <c:v>23</c:v>
                </c:pt>
                <c:pt idx="69">
                  <c:v>21.4</c:v>
                </c:pt>
                <c:pt idx="70">
                  <c:v>15.1</c:v>
                </c:pt>
                <c:pt idx="71">
                  <c:v>29.6</c:v>
                </c:pt>
                <c:pt idx="72">
                  <c:v>25.5</c:v>
                </c:pt>
                <c:pt idx="73">
                  <c:v>16.8</c:v>
                </c:pt>
                <c:pt idx="74">
                  <c:v>21</c:v>
                </c:pt>
                <c:pt idx="75">
                  <c:v>15.3</c:v>
                </c:pt>
                <c:pt idx="76">
                  <c:v>24.8</c:v>
                </c:pt>
                <c:pt idx="77">
                  <c:v>25.5</c:v>
                </c:pt>
                <c:pt idx="78">
                  <c:v>30.3</c:v>
                </c:pt>
                <c:pt idx="79">
                  <c:v>17.7</c:v>
                </c:pt>
                <c:pt idx="80">
                  <c:v>14.9</c:v>
                </c:pt>
                <c:pt idx="81">
                  <c:v>19.100000000000001</c:v>
                </c:pt>
                <c:pt idx="82">
                  <c:v>39.299999999999997</c:v>
                </c:pt>
                <c:pt idx="83">
                  <c:v>14.4</c:v>
                </c:pt>
                <c:pt idx="84">
                  <c:v>11.3</c:v>
                </c:pt>
                <c:pt idx="85">
                  <c:v>16.7</c:v>
                </c:pt>
                <c:pt idx="86">
                  <c:v>22</c:v>
                </c:pt>
                <c:pt idx="87">
                  <c:v>8</c:v>
                </c:pt>
                <c:pt idx="88">
                  <c:v>25.5</c:v>
                </c:pt>
                <c:pt idx="89">
                  <c:v>36.200000000000003</c:v>
                </c:pt>
                <c:pt idx="90">
                  <c:v>20</c:v>
                </c:pt>
                <c:pt idx="91">
                  <c:v>19.7</c:v>
                </c:pt>
                <c:pt idx="92">
                  <c:v>21.4</c:v>
                </c:pt>
                <c:pt idx="93">
                  <c:v>10.4</c:v>
                </c:pt>
                <c:pt idx="94">
                  <c:v>14</c:v>
                </c:pt>
                <c:pt idx="95">
                  <c:v>12.3</c:v>
                </c:pt>
                <c:pt idx="96">
                  <c:v>11.2</c:v>
                </c:pt>
                <c:pt idx="97">
                  <c:v>20.7</c:v>
                </c:pt>
                <c:pt idx="98">
                  <c:v>17.3</c:v>
                </c:pt>
                <c:pt idx="99">
                  <c:v>15.1</c:v>
                </c:pt>
                <c:pt idx="100">
                  <c:v>38.200000000000003</c:v>
                </c:pt>
                <c:pt idx="101">
                  <c:v>27.6</c:v>
                </c:pt>
                <c:pt idx="102">
                  <c:v>18.899999999999999</c:v>
                </c:pt>
                <c:pt idx="103">
                  <c:v>28</c:v>
                </c:pt>
                <c:pt idx="104">
                  <c:v>17.8</c:v>
                </c:pt>
                <c:pt idx="105">
                  <c:v>13.8</c:v>
                </c:pt>
                <c:pt idx="106">
                  <c:v>24</c:v>
                </c:pt>
                <c:pt idx="107">
                  <c:v>18.5</c:v>
                </c:pt>
                <c:pt idx="108">
                  <c:v>27</c:v>
                </c:pt>
                <c:pt idx="109">
                  <c:v>11</c:v>
                </c:pt>
                <c:pt idx="110">
                  <c:v>32</c:v>
                </c:pt>
                <c:pt idx="111">
                  <c:v>19.5</c:v>
                </c:pt>
                <c:pt idx="112">
                  <c:v>18</c:v>
                </c:pt>
                <c:pt idx="113">
                  <c:v>13.9</c:v>
                </c:pt>
                <c:pt idx="114">
                  <c:v>28.5</c:v>
                </c:pt>
                <c:pt idx="115">
                  <c:v>21.1</c:v>
                </c:pt>
                <c:pt idx="116">
                  <c:v>16.8</c:v>
                </c:pt>
                <c:pt idx="117">
                  <c:v>26.2</c:v>
                </c:pt>
                <c:pt idx="118">
                  <c:v>15.2</c:v>
                </c:pt>
                <c:pt idx="119">
                  <c:v>19.8</c:v>
                </c:pt>
                <c:pt idx="120">
                  <c:v>26</c:v>
                </c:pt>
                <c:pt idx="121">
                  <c:v>8.3000000000000007</c:v>
                </c:pt>
                <c:pt idx="122">
                  <c:v>24.9</c:v>
                </c:pt>
                <c:pt idx="123">
                  <c:v>25</c:v>
                </c:pt>
                <c:pt idx="124">
                  <c:v>19.8</c:v>
                </c:pt>
                <c:pt idx="125">
                  <c:v>18</c:v>
                </c:pt>
                <c:pt idx="126">
                  <c:v>14.7</c:v>
                </c:pt>
                <c:pt idx="127">
                  <c:v>19.100000000000001</c:v>
                </c:pt>
                <c:pt idx="128">
                  <c:v>19.2</c:v>
                </c:pt>
                <c:pt idx="129">
                  <c:v>21.5</c:v>
                </c:pt>
                <c:pt idx="130">
                  <c:v>12.6</c:v>
                </c:pt>
                <c:pt idx="131">
                  <c:v>15.1</c:v>
                </c:pt>
                <c:pt idx="132">
                  <c:v>15.5</c:v>
                </c:pt>
                <c:pt idx="133">
                  <c:v>12.3</c:v>
                </c:pt>
                <c:pt idx="134">
                  <c:v>24.8</c:v>
                </c:pt>
                <c:pt idx="135">
                  <c:v>9.6</c:v>
                </c:pt>
                <c:pt idx="136">
                  <c:v>27.1</c:v>
                </c:pt>
                <c:pt idx="137">
                  <c:v>13.1</c:v>
                </c:pt>
                <c:pt idx="138">
                  <c:v>27.3</c:v>
                </c:pt>
                <c:pt idx="139">
                  <c:v>10.9</c:v>
                </c:pt>
                <c:pt idx="140">
                  <c:v>7.7</c:v>
                </c:pt>
                <c:pt idx="141">
                  <c:v>18.8</c:v>
                </c:pt>
                <c:pt idx="142">
                  <c:v>14.2</c:v>
                </c:pt>
                <c:pt idx="143">
                  <c:v>11.7</c:v>
                </c:pt>
                <c:pt idx="144">
                  <c:v>18</c:v>
                </c:pt>
                <c:pt idx="145">
                  <c:v>12.8</c:v>
                </c:pt>
                <c:pt idx="146">
                  <c:v>8.5</c:v>
                </c:pt>
                <c:pt idx="147">
                  <c:v>10.4</c:v>
                </c:pt>
                <c:pt idx="148">
                  <c:v>15.5</c:v>
                </c:pt>
                <c:pt idx="149">
                  <c:v>13</c:v>
                </c:pt>
                <c:pt idx="150">
                  <c:v>15.7</c:v>
                </c:pt>
                <c:pt idx="151">
                  <c:v>10.199999999999999</c:v>
                </c:pt>
                <c:pt idx="152">
                  <c:v>11.5</c:v>
                </c:pt>
                <c:pt idx="153">
                  <c:v>8.9</c:v>
                </c:pt>
              </c:numCache>
            </c:numRef>
          </c:yVal>
          <c:smooth val="0"/>
          <c:extLst>
            <c:ext xmlns:c16="http://schemas.microsoft.com/office/drawing/2014/chart" uri="{C3380CC4-5D6E-409C-BE32-E72D297353CC}">
              <c16:uniqueId val="{00000001-6543-4E0A-BBC9-7F7D09966493}"/>
            </c:ext>
          </c:extLst>
        </c:ser>
        <c:dLbls>
          <c:showLegendKey val="0"/>
          <c:showVal val="0"/>
          <c:showCatName val="0"/>
          <c:showSerName val="0"/>
          <c:showPercent val="0"/>
          <c:showBubbleSize val="0"/>
        </c:dLbls>
        <c:axId val="1349212959"/>
        <c:axId val="1392286175"/>
      </c:scatterChart>
      <c:valAx>
        <c:axId val="134921295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86175"/>
        <c:crosses val="autoZero"/>
        <c:crossBetween val="midCat"/>
      </c:valAx>
      <c:valAx>
        <c:axId val="139228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21295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931333</xdr:colOff>
      <xdr:row>11</xdr:row>
      <xdr:rowOff>109757</xdr:rowOff>
    </xdr:from>
    <xdr:to>
      <xdr:col>6</xdr:col>
      <xdr:colOff>727363</xdr:colOff>
      <xdr:row>26</xdr:row>
      <xdr:rowOff>92364</xdr:rowOff>
    </xdr:to>
    <xdr:graphicFrame macro="">
      <xdr:nvGraphicFramePr>
        <xdr:cNvPr id="2" name="Chart 1">
          <a:extLst>
            <a:ext uri="{FF2B5EF4-FFF2-40B4-BE49-F238E27FC236}">
              <a16:creationId xmlns:a16="http://schemas.microsoft.com/office/drawing/2014/main" id="{DF4605AC-96B8-6ADA-483C-05DA38142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300183</xdr:colOff>
      <xdr:row>39</xdr:row>
      <xdr:rowOff>150090</xdr:rowOff>
    </xdr:from>
    <xdr:to>
      <xdr:col>9</xdr:col>
      <xdr:colOff>381000</xdr:colOff>
      <xdr:row>67</xdr:row>
      <xdr:rowOff>80818</xdr:rowOff>
    </xdr:to>
    <xdr:graphicFrame macro="">
      <xdr:nvGraphicFramePr>
        <xdr:cNvPr id="8" name="Chart 7">
          <a:extLst>
            <a:ext uri="{FF2B5EF4-FFF2-40B4-BE49-F238E27FC236}">
              <a16:creationId xmlns:a16="http://schemas.microsoft.com/office/drawing/2014/main" id="{83BD9A39-A035-FCFA-EFBE-6289854B2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538884</xdr:colOff>
      <xdr:row>38</xdr:row>
      <xdr:rowOff>167119</xdr:rowOff>
    </xdr:from>
    <xdr:to>
      <xdr:col>32</xdr:col>
      <xdr:colOff>34636</xdr:colOff>
      <xdr:row>77</xdr:row>
      <xdr:rowOff>11544</xdr:rowOff>
    </xdr:to>
    <xdr:graphicFrame macro="">
      <xdr:nvGraphicFramePr>
        <xdr:cNvPr id="9" name="Chart 8">
          <a:extLst>
            <a:ext uri="{FF2B5EF4-FFF2-40B4-BE49-F238E27FC236}">
              <a16:creationId xmlns:a16="http://schemas.microsoft.com/office/drawing/2014/main" id="{EDF0E537-AAA4-57ED-AB1A-9E5B2BB7C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613521</xdr:colOff>
      <xdr:row>199</xdr:row>
      <xdr:rowOff>113178</xdr:rowOff>
    </xdr:from>
    <xdr:to>
      <xdr:col>12</xdr:col>
      <xdr:colOff>9338</xdr:colOff>
      <xdr:row>231</xdr:row>
      <xdr:rowOff>149410</xdr:rowOff>
    </xdr:to>
    <xdr:graphicFrame macro="">
      <xdr:nvGraphicFramePr>
        <xdr:cNvPr id="11" name="Chart 10">
          <a:extLst>
            <a:ext uri="{FF2B5EF4-FFF2-40B4-BE49-F238E27FC236}">
              <a16:creationId xmlns:a16="http://schemas.microsoft.com/office/drawing/2014/main" id="{96643752-310A-0514-E97D-F07E45F5A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2.395714351849" createdVersion="8" refreshedVersion="8" minRefreshableVersion="3" recordCount="155" xr:uid="{005EC901-C8B4-4071-8CC7-48026C06878D}">
  <cacheSource type="worksheet">
    <worksheetSource ref="A1:O1048576" sheet="C_area_comparison_B01b"/>
  </cacheSource>
  <cacheFields count="15">
    <cacheField name="Indicator Name" numFmtId="0">
      <sharedItems containsBlank="1"/>
    </cacheField>
    <cacheField name="Parent Code" numFmtId="0">
      <sharedItems containsBlank="1" count="2">
        <m/>
        <s v="E92000001"/>
      </sharedItems>
    </cacheField>
    <cacheField name="AreaName" numFmtId="0">
      <sharedItems containsBlank="1" count="155">
        <s v="England"/>
        <s v="Birmingham"/>
        <s v="Bradford"/>
        <s v="Oldham"/>
        <s v="Blackburn with Darwen"/>
        <s v="Sandwell"/>
        <s v="Manchester"/>
        <s v="Stoke-on-Trent"/>
        <s v="Leicester"/>
        <s v="Middlesbrough"/>
        <s v="Nottingham"/>
        <s v="Kingston upon Hull"/>
        <s v="Bolton"/>
        <s v="Wolverhampton"/>
        <s v="Walsall"/>
        <s v="Rochdale"/>
        <s v="Luton"/>
        <s v="Doncaster"/>
        <s v="North East Lincolnshire"/>
        <s v="Blackpool"/>
        <s v="Kirklees"/>
        <s v="Liverpool"/>
        <s v="Sheffield"/>
        <s v="Barnsley"/>
        <s v="Dudley"/>
        <s v="Derby"/>
        <s v="Peterborough"/>
        <s v="Rotherham"/>
        <s v="Hartlepool"/>
        <s v="Calderdale"/>
        <s v="Tameside"/>
        <s v="Tower Hamlets"/>
        <s v="Newcastle upon Tyne"/>
        <s v="South Tyneside"/>
        <s v="Redcar and Cleveland"/>
        <s v="County Durham"/>
        <s v="Sunderland"/>
        <s v="North Lincolnshire"/>
        <s v="Coventry"/>
        <s v="Bury"/>
        <s v="Salford"/>
        <s v="Leeds"/>
        <s v="Lancashire"/>
        <s v="Telford and Wrekin"/>
        <s v="Darlington"/>
        <s v="Knowsley"/>
        <s v="Gateshead"/>
        <s v="Isle of Wight"/>
        <s v="Wakefield"/>
        <s v="Newham"/>
        <s v="Halton"/>
        <s v="Barking and Dagenham"/>
        <s v="Stockton-on-Tees"/>
        <s v="Lincolnshire"/>
        <s v="Southampton"/>
        <s v="St. Helens"/>
        <s v="Wigan"/>
        <s v="Cornwall"/>
        <s v="Hackney"/>
        <s v="Northumberland"/>
        <s v="Torbay"/>
        <s v="Portsmouth"/>
        <s v="Plymouth"/>
        <s v="Wirral"/>
        <s v="Sefton"/>
        <s v="Norfolk"/>
        <s v="Herefordshire"/>
        <s v="Bristol"/>
        <s v="Nottinghamshire"/>
        <s v="Islington"/>
        <s v="Slough"/>
        <s v="North Tyneside"/>
        <s v="Staffordshire"/>
        <s v="Cumberland"/>
        <s v="North Northamptonshire"/>
        <s v="Shropshire"/>
        <s v="Derbyshire"/>
        <s v="Brent"/>
        <s v="Thurrock"/>
        <s v="Southwark"/>
        <s v="Waltham Forest"/>
        <s v="Worcestershire"/>
        <s v="Suffolk"/>
        <s v="East Riding of Yorkshire"/>
        <s v="Bedford"/>
        <s v="Southend-on-Sea"/>
        <s v="Medway"/>
        <s v="Somerset UA"/>
        <s v="Greenwich"/>
        <s v="Lambeth"/>
        <s v="West Northamptonshire"/>
        <s v="Devon"/>
        <s v="East Sussex"/>
        <s v="Redbridge"/>
        <s v="Hounslow"/>
        <s v="Haringey"/>
        <s v="Croydon"/>
        <s v="Camden"/>
        <s v="Swindon"/>
        <s v="Westmorland and Furness"/>
        <s v="Ealing"/>
        <s v="Stockport"/>
        <s v="Lewisham"/>
        <s v="Dorset"/>
        <s v="Milton Keynes"/>
        <s v="Kent"/>
        <s v="Solihull"/>
        <s v="Leicestershire"/>
        <s v="Enfield"/>
        <s v="Warrington"/>
        <s v="Hillingdon"/>
        <s v="Gloucestershire"/>
        <s v="Cheshire West and Chester"/>
        <s v="Reading"/>
        <s v="North Yorkshire UA"/>
        <s v="Bournemouth, Christchurch and Poole"/>
        <s v="Essex"/>
        <s v="Warwickshire"/>
        <s v="Harrow"/>
        <s v="York"/>
        <s v="Brighton and Hove"/>
        <s v="Havering"/>
        <s v="Wiltshire"/>
        <s v="Cheshire East"/>
        <s v="Hammersmith and Fulham"/>
        <s v="West Sussex"/>
        <s v="Westminster"/>
        <s v="Wandsworth"/>
        <s v="Cambridgeshire"/>
        <s v="Trafford"/>
        <s v="North Somerset"/>
        <s v="Central Bedfordshire"/>
        <s v="Merton"/>
        <s v="Rutland"/>
        <s v="Bexley"/>
        <s v="Hampshire"/>
        <s v="South Gloucestershire"/>
        <s v="Barnet"/>
        <s v="Buckinghamshire UA"/>
        <s v="Hertfordshire"/>
        <s v="Sutton"/>
        <s v="Oxfordshire"/>
        <s v="Bath and North East Somerset"/>
        <s v="West Berkshire"/>
        <s v="Isles of Scilly"/>
        <s v="Bracknell Forest"/>
        <s v="Surrey"/>
        <s v="Bromley"/>
        <s v="Kingston upon Thames"/>
        <s v="Kensington and Chelsea"/>
        <s v="Windsor and Maidenhead"/>
        <s v="City of London"/>
        <s v="Wokingham"/>
        <s v="Richmond upon Thames"/>
        <m/>
      </sharedItems>
    </cacheField>
    <cacheField name="Age" numFmtId="0">
      <sharedItems containsBlank="1"/>
    </cacheField>
    <cacheField name="Time period" numFmtId="0">
      <sharedItems containsBlank="1" count="2">
        <s v="2024/25"/>
        <m/>
      </sharedItems>
    </cacheField>
    <cacheField name="Value" numFmtId="0">
      <sharedItems containsString="0" containsBlank="1" containsNumber="1" minValue="5.2" maxValue="39.5"/>
    </cacheField>
    <cacheField name="Lower CI 95.0 limit" numFmtId="0">
      <sharedItems containsString="0" containsBlank="1" containsNumber="1" minValue="4.7" maxValue="39.299999999999997"/>
    </cacheField>
    <cacheField name="Upper CI 95.0 limit" numFmtId="0">
      <sharedItems containsString="0" containsBlank="1" containsNumber="1" minValue="5.5" maxValue="39.799999999999997"/>
    </cacheField>
    <cacheField name="Count" numFmtId="0">
      <sharedItems containsString="0" containsBlank="1" containsNumber="1" containsInteger="1" minValue="27" maxValue="2130679"/>
    </cacheField>
    <cacheField name="Denominator" numFmtId="0">
      <sharedItems containsString="0" containsBlank="1" containsNumber="1" containsInteger="1" minValue="305" maxValue="10768248"/>
    </cacheField>
    <cacheField name="Recent Trend" numFmtId="0">
      <sharedItems containsBlank="1"/>
    </cacheField>
    <cacheField name="Compared to England value or percentiles" numFmtId="0">
      <sharedItems containsBlank="1" count="5">
        <s v="Not compared"/>
        <s v="Worse"/>
        <s v="Similar"/>
        <s v="Better"/>
        <m/>
      </sharedItems>
    </cacheField>
    <cacheField name="Compared to parent value or percentiles" numFmtId="0">
      <sharedItems containsBlank="1"/>
    </cacheField>
    <cacheField name="Time period Sortable" numFmtId="0">
      <sharedItems containsString="0" containsBlank="1" containsNumber="1" containsInteger="1" minValue="20240000" maxValue="20240000"/>
    </cacheField>
    <cacheField name="Time period rang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2.42892233796" createdVersion="8" refreshedVersion="8" minRefreshableVersion="3" recordCount="155" xr:uid="{D253BCC7-63CB-4F22-8A0B-67C6E403A1F2}">
  <cacheSource type="worksheet">
    <worksheetSource ref="A1:N1048576" sheet="C_area_comparison_B02a"/>
  </cacheSource>
  <cacheFields count="14">
    <cacheField name="Indicator ID" numFmtId="0">
      <sharedItems containsString="0" containsBlank="1" containsNumber="1" containsInteger="1" minValue="90632" maxValue="90632"/>
    </cacheField>
    <cacheField name="Indicator Name" numFmtId="0">
      <sharedItems containsBlank="1"/>
    </cacheField>
    <cacheField name="Local Authorities" numFmtId="0">
      <sharedItems containsBlank="1" count="155">
        <s v="England"/>
        <s v="City of London"/>
        <s v="Hackney"/>
        <s v="Westminster"/>
        <s v="Newham"/>
        <s v="Redbridge"/>
        <s v="Camden"/>
        <s v="Enfield"/>
        <s v="Slough"/>
        <s v="Waltham Forest"/>
        <s v="Brent"/>
        <s v="Greenwich"/>
        <s v="Haringey"/>
        <s v="Croydon"/>
        <s v="Tower Hamlets"/>
        <s v="Hammersmith and Fulham"/>
        <s v="Birmingham"/>
        <s v="Lambeth"/>
        <s v="Thurrock"/>
        <s v="Hillingdon"/>
        <s v="Stoke-on-Trent"/>
        <s v="Lewisham"/>
        <s v="Southwark"/>
        <s v="Islington"/>
        <s v="Bexley"/>
        <s v="Wandsworth"/>
        <s v="Kingston upon Hull"/>
        <s v="Southampton"/>
        <s v="Barnsley"/>
        <s v="Kensington and Chelsea"/>
        <s v="Havering"/>
        <s v="Barking and Dagenham"/>
        <s v="Ealing"/>
        <s v="Wokingham"/>
        <s v="Hounslow"/>
        <s v="South Tyneside"/>
        <s v="Barnet"/>
        <s v="North East Lincolnshire"/>
        <s v="Swindon"/>
        <s v="Leicester"/>
        <s v="Walsall"/>
        <s v="Stockton-on-Tees"/>
        <s v="Milton Keynes"/>
        <s v="Nottingham"/>
        <s v="Bournemouth, Christchurch and Poole"/>
        <s v="Salford"/>
        <s v="Merton"/>
        <s v="Isle of Wight"/>
        <s v="Doncaster"/>
        <s v="Middlesbrough"/>
        <s v="Solihull"/>
        <s v="Medway"/>
        <s v="Wakefield"/>
        <s v="Manchester"/>
        <s v="Sandwell"/>
        <s v="Sunderland"/>
        <s v="Wolverhampton"/>
        <s v="Luton"/>
        <s v="Knowsley"/>
        <s v="Bromley"/>
        <s v="Blackpool"/>
        <s v="Plymouth"/>
        <s v="Hartlepool"/>
        <s v="Derby"/>
        <s v="Richmond upon Thames"/>
        <s v="Bolton"/>
        <s v="Herefordshire"/>
        <s v="Newcastle upon Tyne"/>
        <s v="Halton"/>
        <s v="Cornwall"/>
        <s v="Warrington"/>
        <s v="Liverpool"/>
        <s v="Bury"/>
        <s v="West Northamptonshire"/>
        <s v="Torbay"/>
        <s v="Kent"/>
        <s v="Telford and Wrekin"/>
        <s v="Coventry"/>
        <s v="Kirklees"/>
        <s v="Southend-on-Sea"/>
        <s v="Reading"/>
        <s v="Staffordshire"/>
        <s v="Bradford"/>
        <s v="Essex"/>
        <s v="Hampshire"/>
        <s v="East Sussex"/>
        <s v="Lincolnshire"/>
        <s v="Kingston upon Thames"/>
        <s v="North Lincolnshire"/>
        <s v="Blackburn with Darwen"/>
        <s v="Wirral"/>
        <s v="Bristol"/>
        <s v="Wigan"/>
        <s v="Sutton"/>
        <s v="Harrow"/>
        <s v="Trafford"/>
        <s v="South Gloucestershire"/>
        <s v="Portsmouth"/>
        <s v="Somerset UA"/>
        <s v="Gloucestershire"/>
        <s v="Oldham"/>
        <s v="Peterborough"/>
        <s v="North Northamptonshire"/>
        <s v="Dudley"/>
        <s v="Bedford"/>
        <s v="Brighton and Hove"/>
        <s v="Gateshead"/>
        <s v="Derbyshire"/>
        <s v="Tameside"/>
        <s v="Buckinghamshire UA"/>
        <s v="Rochdale"/>
        <s v="Nottinghamshire"/>
        <s v="Suffolk"/>
        <s v="York"/>
        <s v="Sheffield"/>
        <s v="Northumberland"/>
        <s v="Devon"/>
        <s v="Redcar and Cleveland"/>
        <s v="Leicestershire"/>
        <s v="Norfolk"/>
        <s v="County Durham"/>
        <s v="Surrey"/>
        <s v="Lancashire"/>
        <s v="Leeds"/>
        <s v="Sefton"/>
        <s v="East Riding of Yorkshire"/>
        <s v="North Yorkshire UA"/>
        <s v="Cumberland"/>
        <s v="North Tyneside"/>
        <s v="St. Helens"/>
        <s v="Cambridgeshire"/>
        <s v="Cheshire West and Chester"/>
        <s v="Dorset"/>
        <s v="North Somerset"/>
        <s v="Darlington"/>
        <s v="West Berkshire"/>
        <s v="Calderdale"/>
        <s v="Wiltshire"/>
        <s v="Rotherham"/>
        <s v="Hertfordshire"/>
        <s v="Windsor and Maidenhead"/>
        <s v="Shropshire"/>
        <s v="Warwickshire"/>
        <s v="Central Bedfordshire"/>
        <s v="Worcestershire"/>
        <s v="West Sussex"/>
        <s v="Bracknell Forest"/>
        <s v="Oxfordshire"/>
        <s v="Stockport"/>
        <s v="Cheshire East"/>
        <s v="Westmorland and Furness"/>
        <s v="Bath and North East Somerset"/>
        <s v="Rutland"/>
        <s v="Isles of Scilly"/>
        <m/>
      </sharedItems>
    </cacheField>
    <cacheField name="Area Type" numFmtId="0">
      <sharedItems containsBlank="1"/>
    </cacheField>
    <cacheField name="Sex" numFmtId="0">
      <sharedItems containsBlank="1"/>
    </cacheField>
    <cacheField name="Age" numFmtId="0">
      <sharedItems containsBlank="1"/>
    </cacheField>
    <cacheField name="Time period" numFmtId="0">
      <sharedItems containsBlank="1"/>
    </cacheField>
    <cacheField name="Value" numFmtId="0">
      <sharedItems containsString="0" containsBlank="1" containsNumber="1" minValue="33.333300000000001" maxValue="100"/>
    </cacheField>
    <cacheField name="Lower CI 95.0 limit" numFmtId="0">
      <sharedItems containsString="0" containsBlank="1" containsNumber="1" minValue="16.2788" maxValue="62.318600000000004"/>
    </cacheField>
    <cacheField name="Upper CI 95.0 limit" numFmtId="0">
      <sharedItems containsString="0" containsBlank="1" containsNumber="1" minValue="45.2791" maxValue="100"/>
    </cacheField>
    <cacheField name="Lower CI 99.8 limit" numFmtId="0">
      <sharedItems containsString="0" containsBlank="1" containsNumber="1" minValue="10.7615" maxValue="60.192599999999999"/>
    </cacheField>
    <cacheField name="Upper CI 99.8 limit" numFmtId="0">
      <sharedItems containsString="0" containsBlank="1" containsNumber="1" minValue="47.968000000000004" maxValue="100"/>
    </cacheField>
    <cacheField name="Count" numFmtId="0">
      <sharedItems containsString="0" containsBlank="1" containsNumber="1" containsInteger="1" minValue="0" maxValue="51394"/>
    </cacheField>
    <cacheField name="Denominator" numFmtId="0">
      <sharedItems containsString="0" containsBlank="1" containsNumber="1" containsInteger="1" minValue="0" maxValue="1002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s v="B01b - Children in absolute low income families (under 16s)"/>
    <x v="0"/>
    <x v="0"/>
    <s v="&lt;16 yrs"/>
    <x v="0"/>
    <n v="19.8"/>
    <n v="19.8"/>
    <n v="19.8"/>
    <n v="2130679"/>
    <n v="10768248"/>
    <s v="Cannot be calculated"/>
    <x v="0"/>
    <m/>
    <n v="20240000"/>
    <s v="1y"/>
  </r>
  <r>
    <s v="B01b - Children in absolute low income families (under 16s)"/>
    <x v="1"/>
    <x v="1"/>
    <s v="&lt;16 yrs"/>
    <x v="0"/>
    <n v="39.5"/>
    <n v="39.299999999999997"/>
    <n v="39.799999999999997"/>
    <n v="102507"/>
    <n v="259195"/>
    <s v="Cannot be calculated"/>
    <x v="1"/>
    <s v="Worse"/>
    <n v="20240000"/>
    <s v="1y"/>
  </r>
  <r>
    <s v="B01b - Children in absolute low income families (under 16s)"/>
    <x v="1"/>
    <x v="2"/>
    <s v="&lt;16 yrs"/>
    <x v="0"/>
    <n v="39.299999999999997"/>
    <n v="38.9"/>
    <n v="39.6"/>
    <n v="49390"/>
    <n v="125834"/>
    <s v="Cannot be calculated"/>
    <x v="1"/>
    <s v="Worse"/>
    <n v="20240000"/>
    <s v="1y"/>
  </r>
  <r>
    <s v="B01b - Children in absolute low income families (under 16s)"/>
    <x v="1"/>
    <x v="3"/>
    <s v="&lt;16 yrs"/>
    <x v="0"/>
    <n v="38.200000000000003"/>
    <n v="37.6"/>
    <n v="38.799999999999997"/>
    <n v="21649"/>
    <n v="56659"/>
    <s v="Cannot be calculated"/>
    <x v="1"/>
    <s v="Worse"/>
    <n v="20240000"/>
    <s v="1y"/>
  </r>
  <r>
    <s v="B01b - Children in absolute low income families (under 16s)"/>
    <x v="1"/>
    <x v="4"/>
    <s v="&lt;16 yrs"/>
    <x v="0"/>
    <n v="36.200000000000003"/>
    <n v="35.5"/>
    <n v="36.9"/>
    <n v="13348"/>
    <n v="36892"/>
    <s v="Cannot be calculated"/>
    <x v="1"/>
    <s v="Worse"/>
    <n v="20240000"/>
    <s v="1y"/>
  </r>
  <r>
    <s v="B01b - Children in absolute low income families (under 16s)"/>
    <x v="1"/>
    <x v="5"/>
    <s v="&lt;16 yrs"/>
    <x v="0"/>
    <n v="35.5"/>
    <n v="35.1"/>
    <n v="36"/>
    <n v="27977"/>
    <n v="78758"/>
    <s v="Cannot be calculated"/>
    <x v="1"/>
    <s v="Worse"/>
    <n v="20240000"/>
    <s v="1y"/>
  </r>
  <r>
    <s v="B01b - Children in absolute low income families (under 16s)"/>
    <x v="1"/>
    <x v="6"/>
    <s v="&lt;16 yrs"/>
    <x v="0"/>
    <n v="35.5"/>
    <n v="35.1"/>
    <n v="35.9"/>
    <n v="41483"/>
    <n v="116876"/>
    <s v="Cannot be calculated"/>
    <x v="1"/>
    <s v="Worse"/>
    <n v="20240000"/>
    <s v="1y"/>
  </r>
  <r>
    <s v="B01b - Children in absolute low income families (under 16s)"/>
    <x v="1"/>
    <x v="7"/>
    <s v="&lt;16 yrs"/>
    <x v="0"/>
    <n v="35"/>
    <n v="34.4"/>
    <n v="35.6"/>
    <n v="19427"/>
    <n v="55498"/>
    <s v="Cannot be calculated"/>
    <x v="1"/>
    <s v="Worse"/>
    <n v="20240000"/>
    <s v="1y"/>
  </r>
  <r>
    <s v="B01b - Children in absolute low income families (under 16s)"/>
    <x v="1"/>
    <x v="8"/>
    <s v="&lt;16 yrs"/>
    <x v="0"/>
    <n v="34.5"/>
    <n v="34"/>
    <n v="35"/>
    <n v="27709"/>
    <n v="80340"/>
    <s v="Cannot be calculated"/>
    <x v="1"/>
    <s v="Worse"/>
    <n v="20240000"/>
    <s v="1y"/>
  </r>
  <r>
    <s v="B01b - Children in absolute low income families (under 16s)"/>
    <x v="1"/>
    <x v="9"/>
    <s v="&lt;16 yrs"/>
    <x v="0"/>
    <n v="34.4"/>
    <n v="33.6"/>
    <n v="35.1"/>
    <n v="10911"/>
    <n v="31762"/>
    <s v="Cannot be calculated"/>
    <x v="1"/>
    <s v="Worse"/>
    <n v="20240000"/>
    <s v="1y"/>
  </r>
  <r>
    <s v="B01b - Children in absolute low income families (under 16s)"/>
    <x v="1"/>
    <x v="10"/>
    <s v="&lt;16 yrs"/>
    <x v="0"/>
    <n v="33.700000000000003"/>
    <n v="33.200000000000003"/>
    <n v="34.299999999999997"/>
    <n v="20591"/>
    <n v="61014"/>
    <s v="Cannot be calculated"/>
    <x v="1"/>
    <s v="Worse"/>
    <n v="20240000"/>
    <s v="1y"/>
  </r>
  <r>
    <s v="B01b - Children in absolute low income families (under 16s)"/>
    <x v="1"/>
    <x v="11"/>
    <s v="&lt;16 yrs"/>
    <x v="0"/>
    <n v="33.200000000000003"/>
    <n v="32.700000000000003"/>
    <n v="33.799999999999997"/>
    <n v="18403"/>
    <n v="55396"/>
    <s v="Cannot be calculated"/>
    <x v="1"/>
    <s v="Worse"/>
    <n v="20240000"/>
    <s v="1y"/>
  </r>
  <r>
    <s v="B01b - Children in absolute low income families (under 16s)"/>
    <x v="1"/>
    <x v="12"/>
    <s v="&lt;16 yrs"/>
    <x v="0"/>
    <n v="33.200000000000003"/>
    <n v="32.700000000000003"/>
    <n v="33.799999999999997"/>
    <n v="22307"/>
    <n v="67099"/>
    <s v="Cannot be calculated"/>
    <x v="1"/>
    <s v="Worse"/>
    <n v="20240000"/>
    <s v="1y"/>
  </r>
  <r>
    <s v="B01b - Children in absolute low income families (under 16s)"/>
    <x v="1"/>
    <x v="13"/>
    <s v="&lt;16 yrs"/>
    <x v="0"/>
    <n v="32.9"/>
    <n v="32.4"/>
    <n v="33.4"/>
    <n v="19932"/>
    <n v="60611"/>
    <s v="Cannot be calculated"/>
    <x v="1"/>
    <s v="Worse"/>
    <n v="20240000"/>
    <s v="1y"/>
  </r>
  <r>
    <s v="B01b - Children in absolute low income families (under 16s)"/>
    <x v="1"/>
    <x v="14"/>
    <s v="&lt;16 yrs"/>
    <x v="0"/>
    <n v="32.799999999999997"/>
    <n v="32.299999999999997"/>
    <n v="33.299999999999997"/>
    <n v="20898"/>
    <n v="63682"/>
    <s v="Cannot be calculated"/>
    <x v="1"/>
    <s v="Worse"/>
    <n v="20240000"/>
    <s v="1y"/>
  </r>
  <r>
    <s v="B01b - Children in absolute low income families (under 16s)"/>
    <x v="1"/>
    <x v="15"/>
    <s v="&lt;16 yrs"/>
    <x v="0"/>
    <n v="32"/>
    <n v="31.5"/>
    <n v="32.6"/>
    <n v="16494"/>
    <n v="51478"/>
    <s v="Cannot be calculated"/>
    <x v="1"/>
    <s v="Worse"/>
    <n v="20240000"/>
    <s v="1y"/>
  </r>
  <r>
    <s v="B01b - Children in absolute low income families (under 16s)"/>
    <x v="1"/>
    <x v="16"/>
    <s v="&lt;16 yrs"/>
    <x v="0"/>
    <n v="31.7"/>
    <n v="31.1"/>
    <n v="32.200000000000003"/>
    <n v="17561"/>
    <n v="55475"/>
    <s v="Cannot be calculated"/>
    <x v="1"/>
    <s v="Worse"/>
    <n v="20240000"/>
    <s v="1y"/>
  </r>
  <r>
    <s v="B01b - Children in absolute low income families (under 16s)"/>
    <x v="1"/>
    <x v="17"/>
    <s v="&lt;16 yrs"/>
    <x v="0"/>
    <n v="31"/>
    <n v="30.5"/>
    <n v="31.5"/>
    <n v="18798"/>
    <n v="60624"/>
    <s v="Cannot be calculated"/>
    <x v="1"/>
    <s v="Worse"/>
    <n v="20240000"/>
    <s v="1y"/>
  </r>
  <r>
    <s v="B01b - Children in absolute low income families (under 16s)"/>
    <x v="1"/>
    <x v="18"/>
    <s v="&lt;16 yrs"/>
    <x v="0"/>
    <n v="30.8"/>
    <n v="30"/>
    <n v="31.5"/>
    <n v="9144"/>
    <n v="29713"/>
    <s v="Cannot be calculated"/>
    <x v="1"/>
    <s v="Worse"/>
    <n v="20240000"/>
    <s v="1y"/>
  </r>
  <r>
    <s v="B01b - Children in absolute low income families (under 16s)"/>
    <x v="1"/>
    <x v="19"/>
    <s v="&lt;16 yrs"/>
    <x v="0"/>
    <n v="30.5"/>
    <n v="29.7"/>
    <n v="31.3"/>
    <n v="7817"/>
    <n v="25618"/>
    <s v="Cannot be calculated"/>
    <x v="1"/>
    <s v="Worse"/>
    <n v="20240000"/>
    <s v="1y"/>
  </r>
  <r>
    <s v="B01b - Children in absolute low income families (under 16s)"/>
    <x v="1"/>
    <x v="20"/>
    <s v="&lt;16 yrs"/>
    <x v="0"/>
    <n v="30.3"/>
    <n v="29.9"/>
    <n v="30.7"/>
    <n v="26703"/>
    <n v="88154"/>
    <s v="Cannot be calculated"/>
    <x v="1"/>
    <s v="Worse"/>
    <n v="20240000"/>
    <s v="1y"/>
  </r>
  <r>
    <s v="B01b - Children in absolute low income families (under 16s)"/>
    <x v="1"/>
    <x v="21"/>
    <s v="&lt;16 yrs"/>
    <x v="0"/>
    <n v="29.6"/>
    <n v="29.2"/>
    <n v="30"/>
    <n v="25849"/>
    <n v="87288"/>
    <s v="Cannot be calculated"/>
    <x v="1"/>
    <s v="Worse"/>
    <n v="20240000"/>
    <s v="1y"/>
  </r>
  <r>
    <s v="B01b - Children in absolute low income families (under 16s)"/>
    <x v="1"/>
    <x v="22"/>
    <s v="&lt;16 yrs"/>
    <x v="0"/>
    <n v="28.5"/>
    <n v="28.1"/>
    <n v="28.9"/>
    <n v="29422"/>
    <n v="103131"/>
    <s v="Cannot be calculated"/>
    <x v="1"/>
    <s v="Worse"/>
    <n v="20240000"/>
    <s v="1y"/>
  </r>
  <r>
    <s v="B01b - Children in absolute low income families (under 16s)"/>
    <x v="1"/>
    <x v="23"/>
    <s v="&lt;16 yrs"/>
    <x v="0"/>
    <n v="28.2"/>
    <n v="27.6"/>
    <n v="28.7"/>
    <n v="12969"/>
    <n v="46054"/>
    <s v="Cannot be calculated"/>
    <x v="1"/>
    <s v="Worse"/>
    <n v="20240000"/>
    <s v="1y"/>
  </r>
  <r>
    <s v="B01b - Children in absolute low income families (under 16s)"/>
    <x v="1"/>
    <x v="24"/>
    <s v="&lt;16 yrs"/>
    <x v="0"/>
    <n v="28"/>
    <n v="27.5"/>
    <n v="28.5"/>
    <n v="17699"/>
    <n v="63221"/>
    <s v="Cannot be calculated"/>
    <x v="1"/>
    <s v="Worse"/>
    <n v="20240000"/>
    <s v="1y"/>
  </r>
  <r>
    <s v="B01b - Children in absolute low income families (under 16s)"/>
    <x v="1"/>
    <x v="25"/>
    <s v="&lt;16 yrs"/>
    <x v="0"/>
    <n v="27.9"/>
    <n v="27.3"/>
    <n v="28.4"/>
    <n v="15310"/>
    <n v="54956"/>
    <s v="Cannot be calculated"/>
    <x v="1"/>
    <s v="Worse"/>
    <n v="20240000"/>
    <s v="1y"/>
  </r>
  <r>
    <s v="B01b - Children in absolute low income families (under 16s)"/>
    <x v="1"/>
    <x v="26"/>
    <s v="&lt;16 yrs"/>
    <x v="0"/>
    <n v="27.6"/>
    <n v="27.1"/>
    <n v="28.2"/>
    <n v="14156"/>
    <n v="51216"/>
    <s v="Cannot be calculated"/>
    <x v="1"/>
    <s v="Worse"/>
    <n v="20240000"/>
    <s v="1y"/>
  </r>
  <r>
    <s v="B01b - Children in absolute low income families (under 16s)"/>
    <x v="1"/>
    <x v="27"/>
    <s v="&lt;16 yrs"/>
    <x v="0"/>
    <n v="27.3"/>
    <n v="26.8"/>
    <n v="27.9"/>
    <n v="14386"/>
    <n v="52674"/>
    <s v="Cannot be calculated"/>
    <x v="1"/>
    <s v="Worse"/>
    <n v="20240000"/>
    <s v="1y"/>
  </r>
  <r>
    <s v="B01b - Children in absolute low income families (under 16s)"/>
    <x v="1"/>
    <x v="28"/>
    <s v="&lt;16 yrs"/>
    <x v="0"/>
    <n v="27.2"/>
    <n v="26.3"/>
    <n v="28.1"/>
    <n v="5041"/>
    <n v="18544"/>
    <s v="Cannot be calculated"/>
    <x v="1"/>
    <s v="Worse"/>
    <n v="20240000"/>
    <s v="1y"/>
  </r>
  <r>
    <s v="B01b - Children in absolute low income families (under 16s)"/>
    <x v="1"/>
    <x v="29"/>
    <s v="&lt;16 yrs"/>
    <x v="0"/>
    <n v="27.1"/>
    <n v="26.5"/>
    <n v="27.8"/>
    <n v="10787"/>
    <n v="39748"/>
    <s v="Cannot be calculated"/>
    <x v="1"/>
    <s v="Worse"/>
    <n v="20240000"/>
    <s v="1y"/>
  </r>
  <r>
    <s v="B01b - Children in absolute low income families (under 16s)"/>
    <x v="1"/>
    <x v="30"/>
    <s v="&lt;16 yrs"/>
    <x v="0"/>
    <n v="27"/>
    <n v="26.5"/>
    <n v="27.6"/>
    <n v="12651"/>
    <n v="46800"/>
    <s v="Cannot be calculated"/>
    <x v="1"/>
    <s v="Worse"/>
    <n v="20240000"/>
    <s v="1y"/>
  </r>
  <r>
    <s v="B01b - Children in absolute low income families (under 16s)"/>
    <x v="1"/>
    <x v="31"/>
    <s v="&lt;16 yrs"/>
    <x v="0"/>
    <n v="26.7"/>
    <n v="26.2"/>
    <n v="27.2"/>
    <n v="14969"/>
    <n v="56085"/>
    <s v="Cannot be calculated"/>
    <x v="1"/>
    <s v="Worse"/>
    <n v="20240000"/>
    <s v="1y"/>
  </r>
  <r>
    <s v="B01b - Children in absolute low income families (under 16s)"/>
    <x v="1"/>
    <x v="32"/>
    <s v="&lt;16 yrs"/>
    <x v="0"/>
    <n v="26.7"/>
    <n v="26.1"/>
    <n v="27.2"/>
    <n v="14555"/>
    <n v="54603"/>
    <s v="Cannot be calculated"/>
    <x v="1"/>
    <s v="Worse"/>
    <n v="20240000"/>
    <s v="1y"/>
  </r>
  <r>
    <s v="B01b - Children in absolute low income families (under 16s)"/>
    <x v="1"/>
    <x v="33"/>
    <s v="&lt;16 yrs"/>
    <x v="0"/>
    <n v="26.5"/>
    <n v="25.7"/>
    <n v="27.2"/>
    <n v="7146"/>
    <n v="26991"/>
    <s v="Cannot be calculated"/>
    <x v="1"/>
    <s v="Worse"/>
    <n v="20240000"/>
    <s v="1y"/>
  </r>
  <r>
    <s v="B01b - Children in absolute low income families (under 16s)"/>
    <x v="1"/>
    <x v="34"/>
    <s v="&lt;16 yrs"/>
    <x v="0"/>
    <n v="26.2"/>
    <n v="25.5"/>
    <n v="27"/>
    <n v="6346"/>
    <n v="24191"/>
    <s v="Cannot be calculated"/>
    <x v="1"/>
    <s v="Worse"/>
    <n v="20240000"/>
    <s v="1y"/>
  </r>
  <r>
    <s v="B01b - Children in absolute low income families (under 16s)"/>
    <x v="1"/>
    <x v="35"/>
    <s v="&lt;16 yrs"/>
    <x v="0"/>
    <n v="26"/>
    <n v="25.6"/>
    <n v="26.4"/>
    <n v="22965"/>
    <n v="88221"/>
    <s v="Cannot be calculated"/>
    <x v="1"/>
    <s v="Worse"/>
    <n v="20240000"/>
    <s v="1y"/>
  </r>
  <r>
    <s v="B01b - Children in absolute low income families (under 16s)"/>
    <x v="1"/>
    <x v="36"/>
    <s v="&lt;16 yrs"/>
    <x v="0"/>
    <n v="25.7"/>
    <n v="25.2"/>
    <n v="26.2"/>
    <n v="12822"/>
    <n v="49906"/>
    <s v="Cannot be calculated"/>
    <x v="1"/>
    <s v="Worse"/>
    <n v="20240000"/>
    <s v="1y"/>
  </r>
  <r>
    <s v="B01b - Children in absolute low income families (under 16s)"/>
    <x v="1"/>
    <x v="37"/>
    <s v="&lt;16 yrs"/>
    <x v="0"/>
    <n v="25.5"/>
    <n v="24.8"/>
    <n v="26.2"/>
    <n v="7781"/>
    <n v="30501"/>
    <s v="Cannot be calculated"/>
    <x v="1"/>
    <s v="Worse"/>
    <n v="20240000"/>
    <s v="1y"/>
  </r>
  <r>
    <s v="B01b - Children in absolute low income families (under 16s)"/>
    <x v="1"/>
    <x v="38"/>
    <s v="&lt;16 yrs"/>
    <x v="0"/>
    <n v="25.5"/>
    <n v="25.1"/>
    <n v="25.9"/>
    <n v="18981"/>
    <n v="74425"/>
    <s v="Cannot be calculated"/>
    <x v="1"/>
    <s v="Worse"/>
    <n v="20240000"/>
    <s v="1y"/>
  </r>
  <r>
    <s v="B01b - Children in absolute low income families (under 16s)"/>
    <x v="1"/>
    <x v="39"/>
    <s v="&lt;16 yrs"/>
    <x v="0"/>
    <n v="25.5"/>
    <n v="24.9"/>
    <n v="26.1"/>
    <n v="10075"/>
    <n v="39550"/>
    <s v="Cannot be calculated"/>
    <x v="1"/>
    <s v="Worse"/>
    <n v="20240000"/>
    <s v="1y"/>
  </r>
  <r>
    <s v="B01b - Children in absolute low income families (under 16s)"/>
    <x v="1"/>
    <x v="40"/>
    <s v="&lt;16 yrs"/>
    <x v="0"/>
    <n v="25.4"/>
    <n v="24.9"/>
    <n v="25.9"/>
    <n v="14460"/>
    <n v="57023"/>
    <s v="Cannot be calculated"/>
    <x v="1"/>
    <s v="Worse"/>
    <n v="20240000"/>
    <s v="1y"/>
  </r>
  <r>
    <s v="B01b - Children in absolute low income families (under 16s)"/>
    <x v="1"/>
    <x v="41"/>
    <s v="&lt;16 yrs"/>
    <x v="0"/>
    <n v="25"/>
    <n v="24.7"/>
    <n v="25.3"/>
    <n v="39240"/>
    <n v="157114"/>
    <s v="Cannot be calculated"/>
    <x v="1"/>
    <s v="Worse"/>
    <n v="20240000"/>
    <s v="1y"/>
  </r>
  <r>
    <s v="B01b - Children in absolute low income families (under 16s)"/>
    <x v="1"/>
    <x v="42"/>
    <s v="&lt;16 yrs"/>
    <x v="0"/>
    <n v="24.9"/>
    <n v="24.6"/>
    <n v="25.1"/>
    <n v="57320"/>
    <n v="230529"/>
    <s v="Cannot be calculated"/>
    <x v="1"/>
    <s v="Worse"/>
    <n v="20240000"/>
    <s v="1y"/>
  </r>
  <r>
    <s v="B01b - Children in absolute low income families (under 16s)"/>
    <x v="1"/>
    <x v="43"/>
    <s v="&lt;16 yrs"/>
    <x v="0"/>
    <n v="24.8"/>
    <n v="24.2"/>
    <n v="25.4"/>
    <n v="9714"/>
    <n v="39173"/>
    <s v="Cannot be calculated"/>
    <x v="1"/>
    <s v="Worse"/>
    <n v="20240000"/>
    <s v="1y"/>
  </r>
  <r>
    <s v="B01b - Children in absolute low income families (under 16s)"/>
    <x v="1"/>
    <x v="44"/>
    <s v="&lt;16 yrs"/>
    <x v="0"/>
    <n v="24.8"/>
    <n v="24"/>
    <n v="25.6"/>
    <n v="4968"/>
    <n v="20040"/>
    <s v="Cannot be calculated"/>
    <x v="1"/>
    <s v="Worse"/>
    <n v="20240000"/>
    <s v="1y"/>
  </r>
  <r>
    <s v="B01b - Children in absolute low income families (under 16s)"/>
    <x v="1"/>
    <x v="45"/>
    <s v="&lt;16 yrs"/>
    <x v="0"/>
    <n v="24.5"/>
    <n v="23.9"/>
    <n v="25.2"/>
    <n v="7911"/>
    <n v="32267"/>
    <s v="Cannot be calculated"/>
    <x v="1"/>
    <s v="Worse"/>
    <n v="20240000"/>
    <s v="1y"/>
  </r>
  <r>
    <s v="B01b - Children in absolute low income families (under 16s)"/>
    <x v="1"/>
    <x v="46"/>
    <s v="&lt;16 yrs"/>
    <x v="0"/>
    <n v="24"/>
    <n v="23.4"/>
    <n v="24.7"/>
    <n v="8553"/>
    <n v="35592"/>
    <s v="Cannot be calculated"/>
    <x v="1"/>
    <s v="Worse"/>
    <n v="20240000"/>
    <s v="1y"/>
  </r>
  <r>
    <s v="B01b - Children in absolute low income families (under 16s)"/>
    <x v="1"/>
    <x v="47"/>
    <s v="&lt;16 yrs"/>
    <x v="0"/>
    <n v="23.5"/>
    <n v="22.7"/>
    <n v="24.3"/>
    <n v="4796"/>
    <n v="20408"/>
    <s v="Cannot be calculated"/>
    <x v="1"/>
    <s v="Worse"/>
    <n v="20240000"/>
    <s v="1y"/>
  </r>
  <r>
    <s v="B01b - Children in absolute low income families (under 16s)"/>
    <x v="1"/>
    <x v="48"/>
    <s v="&lt;16 yrs"/>
    <x v="0"/>
    <n v="23"/>
    <n v="22.6"/>
    <n v="23.5"/>
    <n v="15828"/>
    <n v="68791"/>
    <s v="Cannot be calculated"/>
    <x v="1"/>
    <s v="Worse"/>
    <n v="20240000"/>
    <s v="1y"/>
  </r>
  <r>
    <s v="B01b - Children in absolute low income families (under 16s)"/>
    <x v="1"/>
    <x v="49"/>
    <s v="&lt;16 yrs"/>
    <x v="0"/>
    <n v="23"/>
    <n v="22.6"/>
    <n v="23.4"/>
    <n v="17282"/>
    <n v="75145"/>
    <s v="Cannot be calculated"/>
    <x v="1"/>
    <s v="Worse"/>
    <n v="20240000"/>
    <s v="1y"/>
  </r>
  <r>
    <s v="B01b - Children in absolute low income families (under 16s)"/>
    <x v="1"/>
    <x v="50"/>
    <s v="&lt;16 yrs"/>
    <x v="0"/>
    <n v="23"/>
    <n v="22.3"/>
    <n v="23.8"/>
    <n v="5609"/>
    <n v="24353"/>
    <s v="Cannot be calculated"/>
    <x v="1"/>
    <s v="Worse"/>
    <n v="20240000"/>
    <s v="1y"/>
  </r>
  <r>
    <s v="B01b - Children in absolute low income families (under 16s)"/>
    <x v="1"/>
    <x v="51"/>
    <s v="&lt;16 yrs"/>
    <x v="0"/>
    <n v="23"/>
    <n v="22.5"/>
    <n v="23.4"/>
    <n v="13528"/>
    <n v="58929"/>
    <s v="Cannot be calculated"/>
    <x v="1"/>
    <s v="Worse"/>
    <n v="20240000"/>
    <s v="1y"/>
  </r>
  <r>
    <s v="B01b - Children in absolute low income families (under 16s)"/>
    <x v="1"/>
    <x v="52"/>
    <s v="&lt;16 yrs"/>
    <x v="0"/>
    <n v="22.3"/>
    <n v="21.7"/>
    <n v="22.8"/>
    <n v="8824"/>
    <n v="39649"/>
    <s v="Cannot be calculated"/>
    <x v="1"/>
    <s v="Worse"/>
    <n v="20240000"/>
    <s v="1y"/>
  </r>
  <r>
    <s v="B01b - Children in absolute low income families (under 16s)"/>
    <x v="1"/>
    <x v="53"/>
    <s v="&lt;16 yrs"/>
    <x v="0"/>
    <n v="22"/>
    <n v="21.7"/>
    <n v="22.3"/>
    <n v="28714"/>
    <n v="130421"/>
    <s v="Cannot be calculated"/>
    <x v="1"/>
    <s v="Worse"/>
    <n v="20240000"/>
    <s v="1y"/>
  </r>
  <r>
    <s v="B01b - Children in absolute low income families (under 16s)"/>
    <x v="1"/>
    <x v="54"/>
    <s v="&lt;16 yrs"/>
    <x v="0"/>
    <n v="21.8"/>
    <n v="21.3"/>
    <n v="22.3"/>
    <n v="9883"/>
    <n v="45324"/>
    <s v="Cannot be calculated"/>
    <x v="1"/>
    <s v="Worse"/>
    <n v="20240000"/>
    <s v="1y"/>
  </r>
  <r>
    <s v="B01b - Children in absolute low income families (under 16s)"/>
    <x v="1"/>
    <x v="55"/>
    <s v="&lt;16 yrs"/>
    <x v="0"/>
    <n v="21.5"/>
    <n v="20.9"/>
    <n v="22.1"/>
    <n v="7141"/>
    <n v="33206"/>
    <s v="Cannot be calculated"/>
    <x v="1"/>
    <s v="Worse"/>
    <n v="20240000"/>
    <s v="1y"/>
  </r>
  <r>
    <s v="B01b - Children in absolute low income families (under 16s)"/>
    <x v="1"/>
    <x v="56"/>
    <s v="&lt;16 yrs"/>
    <x v="0"/>
    <n v="21.4"/>
    <n v="21"/>
    <n v="21.9"/>
    <n v="13638"/>
    <n v="63639"/>
    <s v="Cannot be calculated"/>
    <x v="1"/>
    <s v="Worse"/>
    <n v="20240000"/>
    <s v="1y"/>
  </r>
  <r>
    <s v="B01b - Children in absolute low income families (under 16s)"/>
    <x v="1"/>
    <x v="57"/>
    <s v="&lt;16 yrs"/>
    <x v="0"/>
    <n v="21.4"/>
    <n v="21"/>
    <n v="21.8"/>
    <n v="19876"/>
    <n v="92891"/>
    <s v="Cannot be calculated"/>
    <x v="1"/>
    <s v="Worse"/>
    <n v="20240000"/>
    <s v="1y"/>
  </r>
  <r>
    <s v="B01b - Children in absolute low income families (under 16s)"/>
    <x v="1"/>
    <x v="58"/>
    <s v="&lt;16 yrs"/>
    <x v="0"/>
    <n v="21.2"/>
    <n v="20.7"/>
    <n v="21.7"/>
    <n v="10216"/>
    <n v="48182"/>
    <s v="Cannot be calculated"/>
    <x v="1"/>
    <s v="Worse"/>
    <n v="20240000"/>
    <s v="1y"/>
  </r>
  <r>
    <s v="B01b - Children in absolute low income families (under 16s)"/>
    <x v="1"/>
    <x v="59"/>
    <s v="&lt;16 yrs"/>
    <x v="0"/>
    <n v="21.1"/>
    <n v="20.7"/>
    <n v="21.6"/>
    <n v="10972"/>
    <n v="51894"/>
    <s v="Cannot be calculated"/>
    <x v="1"/>
    <s v="Worse"/>
    <n v="20240000"/>
    <s v="1y"/>
  </r>
  <r>
    <s v="B01b - Children in absolute low income families (under 16s)"/>
    <x v="1"/>
    <x v="60"/>
    <s v="&lt;16 yrs"/>
    <x v="0"/>
    <n v="21"/>
    <n v="20.2"/>
    <n v="21.7"/>
    <n v="4544"/>
    <n v="21686"/>
    <s v="Cannot be calculated"/>
    <x v="1"/>
    <s v="Worse"/>
    <n v="20240000"/>
    <s v="1y"/>
  </r>
  <r>
    <s v="B01b - Children in absolute low income families (under 16s)"/>
    <x v="1"/>
    <x v="61"/>
    <s v="&lt;16 yrs"/>
    <x v="0"/>
    <n v="20.7"/>
    <n v="20.100000000000001"/>
    <n v="21.2"/>
    <n v="7911"/>
    <n v="38294"/>
    <s v="Cannot be calculated"/>
    <x v="1"/>
    <s v="Worse"/>
    <n v="20240000"/>
    <s v="1y"/>
  </r>
  <r>
    <s v="B01b - Children in absolute low income families (under 16s)"/>
    <x v="1"/>
    <x v="62"/>
    <s v="&lt;16 yrs"/>
    <x v="0"/>
    <n v="20.7"/>
    <n v="20.100000000000001"/>
    <n v="21.2"/>
    <n v="9503"/>
    <n v="46009"/>
    <s v="Cannot be calculated"/>
    <x v="1"/>
    <s v="Worse"/>
    <n v="20240000"/>
    <s v="1y"/>
  </r>
  <r>
    <s v="B01b - Children in absolute low income families (under 16s)"/>
    <x v="1"/>
    <x v="63"/>
    <s v="&lt;16 yrs"/>
    <x v="0"/>
    <n v="20"/>
    <n v="19.5"/>
    <n v="20.399999999999999"/>
    <n v="11642"/>
    <n v="58322"/>
    <s v="Cannot be calculated"/>
    <x v="2"/>
    <s v="Similar"/>
    <n v="20240000"/>
    <s v="1y"/>
  </r>
  <r>
    <s v="B01b - Children in absolute low income families (under 16s)"/>
    <x v="1"/>
    <x v="64"/>
    <s v="&lt;16 yrs"/>
    <x v="0"/>
    <n v="19.8"/>
    <n v="19.3"/>
    <n v="20.3"/>
    <n v="9554"/>
    <n v="48352"/>
    <s v="Cannot be calculated"/>
    <x v="2"/>
    <s v="Similar"/>
    <n v="20240000"/>
    <s v="1y"/>
  </r>
  <r>
    <s v="B01b - Children in absolute low income families (under 16s)"/>
    <x v="1"/>
    <x v="65"/>
    <s v="&lt;16 yrs"/>
    <x v="0"/>
    <n v="19.8"/>
    <n v="19.5"/>
    <n v="20.100000000000001"/>
    <n v="30049"/>
    <n v="151546"/>
    <s v="Cannot be calculated"/>
    <x v="2"/>
    <s v="Similar"/>
    <n v="20240000"/>
    <s v="1y"/>
  </r>
  <r>
    <s v="B01b - Children in absolute low income families (under 16s)"/>
    <x v="1"/>
    <x v="66"/>
    <s v="&lt;16 yrs"/>
    <x v="0"/>
    <n v="19.8"/>
    <n v="19.100000000000001"/>
    <n v="20.399999999999999"/>
    <n v="5995"/>
    <n v="30337"/>
    <s v="Cannot be calculated"/>
    <x v="2"/>
    <s v="Similar"/>
    <n v="20240000"/>
    <s v="1y"/>
  </r>
  <r>
    <s v="B01b - Children in absolute low income families (under 16s)"/>
    <x v="1"/>
    <x v="67"/>
    <s v="&lt;16 yrs"/>
    <x v="0"/>
    <n v="19.7"/>
    <n v="19.3"/>
    <n v="20.100000000000001"/>
    <n v="16233"/>
    <n v="82335"/>
    <s v="Cannot be calculated"/>
    <x v="2"/>
    <s v="Similar"/>
    <n v="20240000"/>
    <s v="1y"/>
  </r>
  <r>
    <s v="B01b - Children in absolute low income families (under 16s)"/>
    <x v="1"/>
    <x v="68"/>
    <s v="&lt;16 yrs"/>
    <x v="0"/>
    <n v="19.5"/>
    <n v="19.2"/>
    <n v="19.8"/>
    <n v="29676"/>
    <n v="152077"/>
    <s v="Cannot be calculated"/>
    <x v="2"/>
    <s v="Similar"/>
    <n v="20240000"/>
    <s v="1y"/>
  </r>
  <r>
    <s v="B01b - Children in absolute low income families (under 16s)"/>
    <x v="1"/>
    <x v="69"/>
    <s v="&lt;16 yrs"/>
    <x v="0"/>
    <n v="19.399999999999999"/>
    <n v="18.8"/>
    <n v="20"/>
    <n v="6144"/>
    <n v="31683"/>
    <s v="Cannot be calculated"/>
    <x v="2"/>
    <s v="Similar"/>
    <n v="20240000"/>
    <s v="1y"/>
  </r>
  <r>
    <s v="B01b - Children in absolute low income families (under 16s)"/>
    <x v="1"/>
    <x v="70"/>
    <s v="&lt;16 yrs"/>
    <x v="0"/>
    <n v="19.3"/>
    <n v="18.7"/>
    <n v="19.8"/>
    <n v="7998"/>
    <n v="41506"/>
    <s v="Cannot be calculated"/>
    <x v="2"/>
    <s v="Similar"/>
    <n v="20240000"/>
    <s v="1y"/>
  </r>
  <r>
    <s v="B01b - Children in absolute low income families (under 16s)"/>
    <x v="1"/>
    <x v="71"/>
    <s v="&lt;16 yrs"/>
    <x v="0"/>
    <n v="19.2"/>
    <n v="18.600000000000001"/>
    <n v="19.7"/>
    <n v="7155"/>
    <n v="37332"/>
    <s v="Cannot be calculated"/>
    <x v="3"/>
    <s v="Better"/>
    <n v="20240000"/>
    <s v="1y"/>
  </r>
  <r>
    <s v="B01b - Children in absolute low income families (under 16s)"/>
    <x v="1"/>
    <x v="72"/>
    <s v="&lt;16 yrs"/>
    <x v="0"/>
    <n v="19.100000000000001"/>
    <n v="18.8"/>
    <n v="19.399999999999999"/>
    <n v="29521"/>
    <n v="154485"/>
    <s v="Cannot be calculated"/>
    <x v="3"/>
    <s v="Better"/>
    <n v="20240000"/>
    <s v="1y"/>
  </r>
  <r>
    <s v="B01b - Children in absolute low income families (under 16s)"/>
    <x v="1"/>
    <x v="73"/>
    <s v="&lt;16 yrs"/>
    <x v="0"/>
    <n v="19.100000000000001"/>
    <n v="18.600000000000001"/>
    <n v="19.7"/>
    <n v="8864"/>
    <n v="46292"/>
    <s v="Cannot be calculated"/>
    <x v="3"/>
    <s v="Better"/>
    <n v="20240000"/>
    <s v="1y"/>
  </r>
  <r>
    <s v="B01b - Children in absolute low income families (under 16s)"/>
    <x v="1"/>
    <x v="74"/>
    <s v="&lt;16 yrs"/>
    <x v="0"/>
    <n v="18.899999999999999"/>
    <n v="18.5"/>
    <n v="19.3"/>
    <n v="13875"/>
    <n v="73300"/>
    <s v="Cannot be calculated"/>
    <x v="3"/>
    <s v="Better"/>
    <n v="20240000"/>
    <s v="1y"/>
  </r>
  <r>
    <s v="B01b - Children in absolute low income families (under 16s)"/>
    <x v="1"/>
    <x v="75"/>
    <s v="&lt;16 yrs"/>
    <x v="0"/>
    <n v="18.8"/>
    <n v="18.399999999999999"/>
    <n v="19.3"/>
    <n v="9847"/>
    <n v="52320"/>
    <s v="Cannot be calculated"/>
    <x v="3"/>
    <s v="Better"/>
    <n v="20240000"/>
    <s v="1y"/>
  </r>
  <r>
    <s v="B01b - Children in absolute low income families (under 16s)"/>
    <x v="1"/>
    <x v="76"/>
    <s v="&lt;16 yrs"/>
    <x v="0"/>
    <n v="18.5"/>
    <n v="18.3"/>
    <n v="18.8"/>
    <n v="25465"/>
    <n v="137322"/>
    <s v="Cannot be calculated"/>
    <x v="3"/>
    <s v="Better"/>
    <n v="20240000"/>
    <s v="1y"/>
  </r>
  <r>
    <s v="B01b - Children in absolute low income families (under 16s)"/>
    <x v="1"/>
    <x v="77"/>
    <s v="&lt;16 yrs"/>
    <x v="0"/>
    <n v="18.5"/>
    <n v="18.100000000000001"/>
    <n v="18.899999999999999"/>
    <n v="12240"/>
    <n v="66255"/>
    <s v="Cannot be calculated"/>
    <x v="3"/>
    <s v="Better"/>
    <n v="20240000"/>
    <s v="1y"/>
  </r>
  <r>
    <s v="B01b - Children in absolute low income families (under 16s)"/>
    <x v="1"/>
    <x v="78"/>
    <s v="&lt;16 yrs"/>
    <x v="0"/>
    <n v="18.399999999999999"/>
    <n v="17.899999999999999"/>
    <n v="19"/>
    <n v="7570"/>
    <n v="41062"/>
    <s v="Cannot be calculated"/>
    <x v="3"/>
    <s v="Better"/>
    <n v="20240000"/>
    <s v="1y"/>
  </r>
  <r>
    <s v="B01b - Children in absolute low income families (under 16s)"/>
    <x v="1"/>
    <x v="79"/>
    <s v="&lt;16 yrs"/>
    <x v="0"/>
    <n v="18.399999999999999"/>
    <n v="17.899999999999999"/>
    <n v="18.899999999999999"/>
    <n v="9031"/>
    <n v="49020"/>
    <s v="Cannot be calculated"/>
    <x v="3"/>
    <s v="Better"/>
    <n v="20240000"/>
    <s v="1y"/>
  </r>
  <r>
    <s v="B01b - Children in absolute low income families (under 16s)"/>
    <x v="1"/>
    <x v="80"/>
    <s v="&lt;16 yrs"/>
    <x v="0"/>
    <n v="18.2"/>
    <n v="17.7"/>
    <n v="18.600000000000001"/>
    <n v="10198"/>
    <n v="56077"/>
    <s v="Cannot be calculated"/>
    <x v="3"/>
    <s v="Better"/>
    <n v="20240000"/>
    <s v="1y"/>
  </r>
  <r>
    <s v="B01b - Children in absolute low income families (under 16s)"/>
    <x v="1"/>
    <x v="81"/>
    <s v="&lt;16 yrs"/>
    <x v="0"/>
    <n v="18"/>
    <n v="17.7"/>
    <n v="18.3"/>
    <n v="18983"/>
    <n v="105426"/>
    <s v="Cannot be calculated"/>
    <x v="3"/>
    <s v="Better"/>
    <n v="20240000"/>
    <s v="1y"/>
  </r>
  <r>
    <s v="B01b - Children in absolute low income families (under 16s)"/>
    <x v="1"/>
    <x v="82"/>
    <s v="&lt;16 yrs"/>
    <x v="0"/>
    <n v="18"/>
    <n v="17.8"/>
    <n v="18.3"/>
    <n v="24247"/>
    <n v="134380"/>
    <s v="Cannot be calculated"/>
    <x v="3"/>
    <s v="Better"/>
    <n v="20240000"/>
    <s v="1y"/>
  </r>
  <r>
    <s v="B01b - Children in absolute low income families (under 16s)"/>
    <x v="1"/>
    <x v="83"/>
    <s v="&lt;16 yrs"/>
    <x v="0"/>
    <n v="18"/>
    <n v="17.600000000000001"/>
    <n v="18.5"/>
    <n v="9962"/>
    <n v="55350"/>
    <s v="Cannot be calculated"/>
    <x v="3"/>
    <s v="Better"/>
    <n v="20240000"/>
    <s v="1y"/>
  </r>
  <r>
    <s v="B01b - Children in absolute low income families (under 16s)"/>
    <x v="1"/>
    <x v="84"/>
    <s v="&lt;16 yrs"/>
    <x v="0"/>
    <n v="17.8"/>
    <n v="17.2"/>
    <n v="18.3"/>
    <n v="7011"/>
    <n v="39483"/>
    <s v="Cannot be calculated"/>
    <x v="3"/>
    <s v="Better"/>
    <n v="20240000"/>
    <s v="1y"/>
  </r>
  <r>
    <s v="B01b - Children in absolute low income families (under 16s)"/>
    <x v="1"/>
    <x v="85"/>
    <s v="&lt;16 yrs"/>
    <x v="0"/>
    <n v="17.7"/>
    <n v="17.100000000000001"/>
    <n v="18.2"/>
    <n v="6221"/>
    <n v="35189"/>
    <s v="Cannot be calculated"/>
    <x v="3"/>
    <s v="Better"/>
    <n v="20240000"/>
    <s v="1y"/>
  </r>
  <r>
    <s v="B01b - Children in absolute low income families (under 16s)"/>
    <x v="1"/>
    <x v="86"/>
    <s v="&lt;16 yrs"/>
    <x v="0"/>
    <n v="17.399999999999999"/>
    <n v="17"/>
    <n v="17.8"/>
    <n v="10656"/>
    <n v="61298"/>
    <s v="Cannot be calculated"/>
    <x v="3"/>
    <s v="Better"/>
    <n v="20240000"/>
    <s v="1y"/>
  </r>
  <r>
    <s v="B01b - Children in absolute low income families (under 16s)"/>
    <x v="1"/>
    <x v="87"/>
    <s v="&lt;16 yrs"/>
    <x v="0"/>
    <n v="17.3"/>
    <n v="17"/>
    <n v="17.7"/>
    <n v="17107"/>
    <n v="98711"/>
    <s v="Cannot be calculated"/>
    <x v="3"/>
    <s v="Better"/>
    <n v="20240000"/>
    <s v="1y"/>
  </r>
  <r>
    <s v="B01b - Children in absolute low income families (under 16s)"/>
    <x v="1"/>
    <x v="88"/>
    <s v="&lt;16 yrs"/>
    <x v="0"/>
    <n v="17.2"/>
    <n v="16.8"/>
    <n v="17.7"/>
    <n v="10008"/>
    <n v="58078"/>
    <s v="Cannot be calculated"/>
    <x v="3"/>
    <s v="Better"/>
    <n v="20240000"/>
    <s v="1y"/>
  </r>
  <r>
    <s v="B01b - Children in absolute low income families (under 16s)"/>
    <x v="1"/>
    <x v="89"/>
    <s v="&lt;16 yrs"/>
    <x v="0"/>
    <n v="17"/>
    <n v="16.5"/>
    <n v="17.5"/>
    <n v="7681"/>
    <n v="45141"/>
    <s v="Cannot be calculated"/>
    <x v="3"/>
    <s v="Better"/>
    <n v="20240000"/>
    <s v="1y"/>
  </r>
  <r>
    <s v="B01b - Children in absolute low income families (under 16s)"/>
    <x v="1"/>
    <x v="90"/>
    <s v="&lt;16 yrs"/>
    <x v="0"/>
    <n v="16.8"/>
    <n v="16.399999999999999"/>
    <n v="17.100000000000001"/>
    <n v="14307"/>
    <n v="85289"/>
    <s v="Cannot be calculated"/>
    <x v="3"/>
    <s v="Better"/>
    <n v="20240000"/>
    <s v="1y"/>
  </r>
  <r>
    <s v="B01b - Children in absolute low income families (under 16s)"/>
    <x v="1"/>
    <x v="91"/>
    <s v="&lt;16 yrs"/>
    <x v="0"/>
    <n v="16.8"/>
    <n v="16.5"/>
    <n v="17.100000000000001"/>
    <n v="21870"/>
    <n v="130193"/>
    <s v="Cannot be calculated"/>
    <x v="3"/>
    <s v="Better"/>
    <n v="20240000"/>
    <s v="1y"/>
  </r>
  <r>
    <s v="B01b - Children in absolute low income families (under 16s)"/>
    <x v="1"/>
    <x v="92"/>
    <s v="&lt;16 yrs"/>
    <x v="0"/>
    <n v="16.7"/>
    <n v="16.3"/>
    <n v="17"/>
    <n v="15210"/>
    <n v="91307"/>
    <s v="Cannot be calculated"/>
    <x v="3"/>
    <s v="Better"/>
    <n v="20240000"/>
    <s v="1y"/>
  </r>
  <r>
    <s v="B01b - Children in absolute low income families (under 16s)"/>
    <x v="1"/>
    <x v="93"/>
    <s v="&lt;16 yrs"/>
    <x v="0"/>
    <n v="16.600000000000001"/>
    <n v="16.2"/>
    <n v="17"/>
    <n v="11515"/>
    <n v="69428"/>
    <s v="Cannot be calculated"/>
    <x v="3"/>
    <s v="Better"/>
    <n v="20240000"/>
    <s v="1y"/>
  </r>
  <r>
    <s v="B01b - Children in absolute low income families (under 16s)"/>
    <x v="1"/>
    <x v="94"/>
    <s v="&lt;16 yrs"/>
    <x v="0"/>
    <n v="16.5"/>
    <n v="16"/>
    <n v="16.899999999999999"/>
    <n v="9843"/>
    <n v="59828"/>
    <s v="Cannot be calculated"/>
    <x v="3"/>
    <s v="Better"/>
    <n v="20240000"/>
    <s v="1y"/>
  </r>
  <r>
    <s v="B01b - Children in absolute low income families (under 16s)"/>
    <x v="1"/>
    <x v="95"/>
    <s v="&lt;16 yrs"/>
    <x v="0"/>
    <n v="16.5"/>
    <n v="16.100000000000001"/>
    <n v="17"/>
    <n v="7839"/>
    <n v="47371"/>
    <s v="Cannot be calculated"/>
    <x v="3"/>
    <s v="Better"/>
    <n v="20240000"/>
    <s v="1y"/>
  </r>
  <r>
    <s v="B01b - Children in absolute low income families (under 16s)"/>
    <x v="1"/>
    <x v="96"/>
    <s v="&lt;16 yrs"/>
    <x v="0"/>
    <n v="16.399999999999999"/>
    <n v="16"/>
    <n v="16.8"/>
    <n v="13600"/>
    <n v="82949"/>
    <s v="Cannot be calculated"/>
    <x v="3"/>
    <s v="Better"/>
    <n v="20240000"/>
    <s v="1y"/>
  </r>
  <r>
    <s v="B01b - Children in absolute low income families (under 16s)"/>
    <x v="1"/>
    <x v="97"/>
    <s v="&lt;16 yrs"/>
    <x v="0"/>
    <n v="16.399999999999999"/>
    <n v="15.8"/>
    <n v="17"/>
    <n v="5086"/>
    <n v="31044"/>
    <s v="Cannot be calculated"/>
    <x v="3"/>
    <s v="Better"/>
    <n v="20240000"/>
    <s v="1y"/>
  </r>
  <r>
    <s v="B01b - Children in absolute low income families (under 16s)"/>
    <x v="1"/>
    <x v="98"/>
    <s v="&lt;16 yrs"/>
    <x v="0"/>
    <n v="16"/>
    <n v="15.6"/>
    <n v="16.5"/>
    <n v="7722"/>
    <n v="48180"/>
    <s v="Cannot be calculated"/>
    <x v="3"/>
    <s v="Better"/>
    <n v="20240000"/>
    <s v="1y"/>
  </r>
  <r>
    <s v="B01b - Children in absolute low income families (under 16s)"/>
    <x v="1"/>
    <x v="99"/>
    <s v="&lt;16 yrs"/>
    <x v="0"/>
    <n v="15.7"/>
    <n v="15.2"/>
    <n v="16.3"/>
    <n v="5363"/>
    <n v="34073"/>
    <s v="Cannot be calculated"/>
    <x v="3"/>
    <s v="Better"/>
    <n v="20240000"/>
    <s v="1y"/>
  </r>
  <r>
    <s v="B01b - Children in absolute low income families (under 16s)"/>
    <x v="1"/>
    <x v="100"/>
    <s v="&lt;16 yrs"/>
    <x v="0"/>
    <n v="15.7"/>
    <n v="15.3"/>
    <n v="16"/>
    <n v="11374"/>
    <n v="72667"/>
    <s v="Cannot be calculated"/>
    <x v="3"/>
    <s v="Better"/>
    <n v="20240000"/>
    <s v="1y"/>
  </r>
  <r>
    <s v="B01b - Children in absolute low income families (under 16s)"/>
    <x v="1"/>
    <x v="101"/>
    <s v="&lt;16 yrs"/>
    <x v="0"/>
    <n v="15.5"/>
    <n v="15"/>
    <n v="15.9"/>
    <n v="8901"/>
    <n v="57604"/>
    <s v="Cannot be calculated"/>
    <x v="3"/>
    <s v="Better"/>
    <n v="20240000"/>
    <s v="1y"/>
  </r>
  <r>
    <s v="B01b - Children in absolute low income families (under 16s)"/>
    <x v="1"/>
    <x v="102"/>
    <s v="&lt;16 yrs"/>
    <x v="0"/>
    <n v="15.5"/>
    <n v="15.1"/>
    <n v="16"/>
    <n v="8594"/>
    <n v="55268"/>
    <s v="Cannot be calculated"/>
    <x v="3"/>
    <s v="Better"/>
    <n v="20240000"/>
    <s v="1y"/>
  </r>
  <r>
    <s v="B01b - Children in absolute low income families (under 16s)"/>
    <x v="1"/>
    <x v="103"/>
    <s v="&lt;16 yrs"/>
    <x v="0"/>
    <n v="15.5"/>
    <n v="15.1"/>
    <n v="15.9"/>
    <n v="8992"/>
    <n v="58061"/>
    <s v="Cannot be calculated"/>
    <x v="3"/>
    <s v="Better"/>
    <n v="20240000"/>
    <s v="1y"/>
  </r>
  <r>
    <s v="B01b - Children in absolute low income families (under 16s)"/>
    <x v="1"/>
    <x v="104"/>
    <s v="&lt;16 yrs"/>
    <x v="0"/>
    <n v="15.3"/>
    <n v="14.9"/>
    <n v="15.7"/>
    <n v="10112"/>
    <n v="66211"/>
    <s v="Cannot be calculated"/>
    <x v="3"/>
    <s v="Better"/>
    <n v="20240000"/>
    <s v="1y"/>
  </r>
  <r>
    <s v="B01b - Children in absolute low income families (under 16s)"/>
    <x v="1"/>
    <x v="105"/>
    <s v="&lt;16 yrs"/>
    <x v="0"/>
    <n v="15.3"/>
    <n v="15.2"/>
    <n v="15.5"/>
    <n v="48142"/>
    <n v="314058"/>
    <s v="Cannot be calculated"/>
    <x v="3"/>
    <s v="Better"/>
    <n v="20240000"/>
    <s v="1y"/>
  </r>
  <r>
    <s v="B01b - Children in absolute low income families (under 16s)"/>
    <x v="1"/>
    <x v="106"/>
    <s v="&lt;16 yrs"/>
    <x v="0"/>
    <n v="15.2"/>
    <n v="14.8"/>
    <n v="15.7"/>
    <n v="6617"/>
    <n v="43444"/>
    <s v="Cannot be calculated"/>
    <x v="3"/>
    <s v="Better"/>
    <n v="20240000"/>
    <s v="1y"/>
  </r>
  <r>
    <s v="B01b - Children in absolute low income families (under 16s)"/>
    <x v="1"/>
    <x v="107"/>
    <s v="&lt;16 yrs"/>
    <x v="0"/>
    <n v="15.2"/>
    <n v="14.9"/>
    <n v="15.5"/>
    <n v="19777"/>
    <n v="130147"/>
    <s v="Cannot be calculated"/>
    <x v="3"/>
    <s v="Better"/>
    <n v="20240000"/>
    <s v="1y"/>
  </r>
  <r>
    <s v="B01b - Children in absolute low income families (under 16s)"/>
    <x v="1"/>
    <x v="108"/>
    <s v="&lt;16 yrs"/>
    <x v="0"/>
    <n v="15.2"/>
    <n v="14.8"/>
    <n v="15.6"/>
    <n v="10698"/>
    <n v="70418"/>
    <s v="Cannot be calculated"/>
    <x v="3"/>
    <s v="Better"/>
    <n v="20240000"/>
    <s v="1y"/>
  </r>
  <r>
    <s v="B01b - Children in absolute low income families (under 16s)"/>
    <x v="1"/>
    <x v="109"/>
    <s v="&lt;16 yrs"/>
    <x v="0"/>
    <n v="15.1"/>
    <n v="14.6"/>
    <n v="15.6"/>
    <n v="5971"/>
    <n v="39473"/>
    <s v="Cannot be calculated"/>
    <x v="3"/>
    <s v="Better"/>
    <n v="20240000"/>
    <s v="1y"/>
  </r>
  <r>
    <s v="B01b - Children in absolute low income families (under 16s)"/>
    <x v="1"/>
    <x v="110"/>
    <s v="&lt;16 yrs"/>
    <x v="0"/>
    <n v="15.1"/>
    <n v="14.7"/>
    <n v="15.5"/>
    <n v="10125"/>
    <n v="67140"/>
    <s v="Cannot be calculated"/>
    <x v="3"/>
    <s v="Better"/>
    <n v="20240000"/>
    <s v="1y"/>
  </r>
  <r>
    <s v="B01b - Children in absolute low income families (under 16s)"/>
    <x v="1"/>
    <x v="111"/>
    <s v="&lt;16 yrs"/>
    <x v="0"/>
    <n v="15.1"/>
    <n v="14.8"/>
    <n v="15.4"/>
    <n v="17669"/>
    <n v="117092"/>
    <s v="Cannot be calculated"/>
    <x v="3"/>
    <s v="Better"/>
    <n v="20240000"/>
    <s v="1y"/>
  </r>
  <r>
    <s v="B01b - Children in absolute low income families (under 16s)"/>
    <x v="1"/>
    <x v="112"/>
    <s v="&lt;16 yrs"/>
    <x v="0"/>
    <n v="15.1"/>
    <n v="14.7"/>
    <n v="15.5"/>
    <n v="9524"/>
    <n v="63122"/>
    <s v="Cannot be calculated"/>
    <x v="3"/>
    <s v="Better"/>
    <n v="20240000"/>
    <s v="1y"/>
  </r>
  <r>
    <s v="B01b - Children in absolute low income families (under 16s)"/>
    <x v="1"/>
    <x v="113"/>
    <s v="&lt;16 yrs"/>
    <x v="0"/>
    <n v="14.9"/>
    <n v="14.3"/>
    <n v="15.4"/>
    <n v="5144"/>
    <n v="34635"/>
    <s v="Cannot be calculated"/>
    <x v="3"/>
    <s v="Better"/>
    <n v="20240000"/>
    <s v="1y"/>
  </r>
  <r>
    <s v="B01b - Children in absolute low income families (under 16s)"/>
    <x v="1"/>
    <x v="114"/>
    <s v="&lt;16 yrs"/>
    <x v="0"/>
    <n v="14.7"/>
    <n v="14.4"/>
    <n v="15"/>
    <n v="14753"/>
    <n v="100546"/>
    <s v="Cannot be calculated"/>
    <x v="3"/>
    <s v="Better"/>
    <n v="20240000"/>
    <s v="1y"/>
  </r>
  <r>
    <s v="B01b - Children in absolute low income families (under 16s)"/>
    <x v="1"/>
    <x v="115"/>
    <s v="&lt;16 yrs"/>
    <x v="0"/>
    <n v="14.5"/>
    <n v="14.1"/>
    <n v="14.9"/>
    <n v="9556"/>
    <n v="65972"/>
    <s v="Cannot be calculated"/>
    <x v="3"/>
    <s v="Better"/>
    <n v="20240000"/>
    <s v="1y"/>
  </r>
  <r>
    <s v="B01b - Children in absolute low income families (under 16s)"/>
    <x v="1"/>
    <x v="116"/>
    <s v="&lt;16 yrs"/>
    <x v="0"/>
    <n v="14.4"/>
    <n v="14.2"/>
    <n v="14.5"/>
    <n v="41938"/>
    <n v="292209"/>
    <s v="Cannot be calculated"/>
    <x v="3"/>
    <s v="Better"/>
    <n v="20240000"/>
    <s v="1y"/>
  </r>
  <r>
    <s v="B01b - Children in absolute low income families (under 16s)"/>
    <x v="1"/>
    <x v="117"/>
    <s v="&lt;16 yrs"/>
    <x v="0"/>
    <n v="14.2"/>
    <n v="13.9"/>
    <n v="14.5"/>
    <n v="16326"/>
    <n v="114754"/>
    <s v="Cannot be calculated"/>
    <x v="3"/>
    <s v="Better"/>
    <n v="20240000"/>
    <s v="1y"/>
  </r>
  <r>
    <s v="B01b - Children in absolute low income families (under 16s)"/>
    <x v="1"/>
    <x v="118"/>
    <s v="&lt;16 yrs"/>
    <x v="0"/>
    <n v="14"/>
    <n v="13.6"/>
    <n v="14.4"/>
    <n v="7487"/>
    <n v="53449"/>
    <s v="Cannot be calculated"/>
    <x v="3"/>
    <s v="Better"/>
    <n v="20240000"/>
    <s v="1y"/>
  </r>
  <r>
    <s v="B01b - Children in absolute low income families (under 16s)"/>
    <x v="1"/>
    <x v="119"/>
    <s v="&lt;16 yrs"/>
    <x v="0"/>
    <n v="13.9"/>
    <n v="13.3"/>
    <n v="14.4"/>
    <n v="4218"/>
    <n v="30436"/>
    <s v="Cannot be calculated"/>
    <x v="3"/>
    <s v="Better"/>
    <n v="20240000"/>
    <s v="1y"/>
  </r>
  <r>
    <s v="B01b - Children in absolute low income families (under 16s)"/>
    <x v="1"/>
    <x v="120"/>
    <s v="&lt;16 yrs"/>
    <x v="0"/>
    <n v="13.8"/>
    <n v="13.4"/>
    <n v="14.3"/>
    <n v="5578"/>
    <n v="40352"/>
    <s v="Cannot be calculated"/>
    <x v="3"/>
    <s v="Better"/>
    <n v="20240000"/>
    <s v="1y"/>
  </r>
  <r>
    <s v="B01b - Children in absolute low income families (under 16s)"/>
    <x v="1"/>
    <x v="121"/>
    <s v="&lt;16 yrs"/>
    <x v="0"/>
    <n v="13.2"/>
    <n v="12.8"/>
    <n v="13.6"/>
    <n v="7483"/>
    <n v="56895"/>
    <s v="Cannot be calculated"/>
    <x v="3"/>
    <s v="Better"/>
    <n v="20240000"/>
    <s v="1y"/>
  </r>
  <r>
    <s v="B01b - Children in absolute low income families (under 16s)"/>
    <x v="1"/>
    <x v="122"/>
    <s v="&lt;16 yrs"/>
    <x v="0"/>
    <n v="13.1"/>
    <n v="12.8"/>
    <n v="13.4"/>
    <n v="12044"/>
    <n v="91708"/>
    <s v="Cannot be calculated"/>
    <x v="3"/>
    <s v="Better"/>
    <n v="20240000"/>
    <s v="1y"/>
  </r>
  <r>
    <s v="B01b - Children in absolute low income families (under 16s)"/>
    <x v="1"/>
    <x v="123"/>
    <s v="&lt;16 yrs"/>
    <x v="0"/>
    <n v="13"/>
    <n v="12.7"/>
    <n v="13.4"/>
    <n v="9568"/>
    <n v="73497"/>
    <s v="Cannot be calculated"/>
    <x v="3"/>
    <s v="Better"/>
    <n v="20240000"/>
    <s v="1y"/>
  </r>
  <r>
    <s v="B01b - Children in absolute low income families (under 16s)"/>
    <x v="1"/>
    <x v="124"/>
    <s v="&lt;16 yrs"/>
    <x v="0"/>
    <n v="12.9"/>
    <n v="12.4"/>
    <n v="13.5"/>
    <n v="3677"/>
    <n v="28480"/>
    <s v="Cannot be calculated"/>
    <x v="3"/>
    <s v="Better"/>
    <n v="20240000"/>
    <s v="1y"/>
  </r>
  <r>
    <s v="B01b - Children in absolute low income families (under 16s)"/>
    <x v="1"/>
    <x v="125"/>
    <s v="&lt;16 yrs"/>
    <x v="0"/>
    <n v="12.8"/>
    <n v="12.6"/>
    <n v="13.1"/>
    <n v="20606"/>
    <n v="160665"/>
    <s v="Cannot be calculated"/>
    <x v="3"/>
    <s v="Better"/>
    <n v="20240000"/>
    <s v="1y"/>
  </r>
  <r>
    <s v="B01b - Children in absolute low income families (under 16s)"/>
    <x v="1"/>
    <x v="126"/>
    <s v="&lt;16 yrs"/>
    <x v="0"/>
    <n v="12.7"/>
    <n v="12.2"/>
    <n v="13.3"/>
    <n v="3338"/>
    <n v="26220"/>
    <s v="Cannot be calculated"/>
    <x v="3"/>
    <s v="Better"/>
    <n v="20240000"/>
    <s v="1y"/>
  </r>
  <r>
    <s v="B01b - Children in absolute low income families (under 16s)"/>
    <x v="1"/>
    <x v="127"/>
    <s v="&lt;16 yrs"/>
    <x v="0"/>
    <n v="12.6"/>
    <n v="12.2"/>
    <n v="13"/>
    <n v="6671"/>
    <n v="52774"/>
    <s v="Cannot be calculated"/>
    <x v="3"/>
    <s v="Better"/>
    <n v="20240000"/>
    <s v="1y"/>
  </r>
  <r>
    <s v="B01b - Children in absolute low income families (under 16s)"/>
    <x v="1"/>
    <x v="128"/>
    <s v="&lt;16 yrs"/>
    <x v="0"/>
    <n v="12.6"/>
    <n v="12.3"/>
    <n v="12.8"/>
    <n v="15855"/>
    <n v="126334"/>
    <s v="Cannot be calculated"/>
    <x v="3"/>
    <s v="Better"/>
    <n v="20240000"/>
    <s v="1y"/>
  </r>
  <r>
    <s v="B01b - Children in absolute low income families (under 16s)"/>
    <x v="1"/>
    <x v="129"/>
    <s v="&lt;16 yrs"/>
    <x v="0"/>
    <n v="12.3"/>
    <n v="11.9"/>
    <n v="12.7"/>
    <n v="6173"/>
    <n v="50230"/>
    <s v="Cannot be calculated"/>
    <x v="3"/>
    <s v="Better"/>
    <n v="20240000"/>
    <s v="1y"/>
  </r>
  <r>
    <s v="B01b - Children in absolute low income families (under 16s)"/>
    <x v="1"/>
    <x v="130"/>
    <s v="&lt;16 yrs"/>
    <x v="0"/>
    <n v="12.3"/>
    <n v="11.9"/>
    <n v="12.8"/>
    <n v="4833"/>
    <n v="39227"/>
    <s v="Cannot be calculated"/>
    <x v="3"/>
    <s v="Better"/>
    <n v="20240000"/>
    <s v="1y"/>
  </r>
  <r>
    <s v="B01b - Children in absolute low income families (under 16s)"/>
    <x v="1"/>
    <x v="131"/>
    <s v="&lt;16 yrs"/>
    <x v="0"/>
    <n v="11.7"/>
    <n v="11.4"/>
    <n v="12.1"/>
    <n v="7371"/>
    <n v="62754"/>
    <s v="Cannot be calculated"/>
    <x v="3"/>
    <s v="Better"/>
    <n v="20240000"/>
    <s v="1y"/>
  </r>
  <r>
    <s v="B01b - Children in absolute low income families (under 16s)"/>
    <x v="1"/>
    <x v="132"/>
    <s v="&lt;16 yrs"/>
    <x v="0"/>
    <n v="11.6"/>
    <n v="11.1"/>
    <n v="12"/>
    <n v="4841"/>
    <n v="41890"/>
    <s v="Cannot be calculated"/>
    <x v="3"/>
    <s v="Better"/>
    <n v="20240000"/>
    <s v="1y"/>
  </r>
  <r>
    <s v="B01b - Children in absolute low income families (under 16s)"/>
    <x v="1"/>
    <x v="133"/>
    <s v="&lt;16 yrs"/>
    <x v="0"/>
    <n v="11.5"/>
    <n v="10.4"/>
    <n v="12.6"/>
    <n v="744"/>
    <n v="6488"/>
    <s v="Cannot be calculated"/>
    <x v="3"/>
    <s v="Better"/>
    <n v="20240000"/>
    <s v="1y"/>
  </r>
  <r>
    <s v="B01b - Children in absolute low income families (under 16s)"/>
    <x v="1"/>
    <x v="134"/>
    <s v="&lt;16 yrs"/>
    <x v="0"/>
    <n v="11.4"/>
    <n v="11"/>
    <n v="11.8"/>
    <n v="5928"/>
    <n v="51912"/>
    <s v="Cannot be calculated"/>
    <x v="3"/>
    <s v="Better"/>
    <n v="20240000"/>
    <s v="1y"/>
  </r>
  <r>
    <s v="B01b - Children in absolute low income families (under 16s)"/>
    <x v="1"/>
    <x v="135"/>
    <s v="&lt;16 yrs"/>
    <x v="0"/>
    <n v="11.3"/>
    <n v="11.1"/>
    <n v="11.5"/>
    <n v="28883"/>
    <n v="255231"/>
    <s v="Cannot be calculated"/>
    <x v="3"/>
    <s v="Better"/>
    <n v="20240000"/>
    <s v="1y"/>
  </r>
  <r>
    <s v="B01b - Children in absolute low income families (under 16s)"/>
    <x v="1"/>
    <x v="136"/>
    <s v="&lt;16 yrs"/>
    <x v="0"/>
    <n v="11.2"/>
    <n v="10.8"/>
    <n v="11.5"/>
    <n v="6236"/>
    <n v="55915"/>
    <s v="Cannot be calculated"/>
    <x v="3"/>
    <s v="Better"/>
    <n v="20240000"/>
    <s v="1y"/>
  </r>
  <r>
    <s v="B01b - Children in absolute low income families (under 16s)"/>
    <x v="1"/>
    <x v="137"/>
    <s v="&lt;16 yrs"/>
    <x v="0"/>
    <n v="11.2"/>
    <n v="10.9"/>
    <n v="11.5"/>
    <n v="9318"/>
    <n v="83146"/>
    <s v="Cannot be calculated"/>
    <x v="3"/>
    <s v="Better"/>
    <n v="20240000"/>
    <s v="1y"/>
  </r>
  <r>
    <s v="B01b - Children in absolute low income families (under 16s)"/>
    <x v="1"/>
    <x v="138"/>
    <s v="&lt;16 yrs"/>
    <x v="0"/>
    <n v="11"/>
    <n v="10.7"/>
    <n v="11.2"/>
    <n v="12636"/>
    <n v="115295"/>
    <s v="Cannot be calculated"/>
    <x v="3"/>
    <s v="Better"/>
    <n v="20240000"/>
    <s v="1y"/>
  </r>
  <r>
    <s v="B01b - Children in absolute low income families (under 16s)"/>
    <x v="1"/>
    <x v="139"/>
    <s v="&lt;16 yrs"/>
    <x v="0"/>
    <n v="10.9"/>
    <n v="10.7"/>
    <n v="11"/>
    <n v="26657"/>
    <n v="245290"/>
    <s v="Cannot be calculated"/>
    <x v="3"/>
    <s v="Better"/>
    <n v="20240000"/>
    <s v="1y"/>
  </r>
  <r>
    <s v="B01b - Children in absolute low income families (under 16s)"/>
    <x v="1"/>
    <x v="140"/>
    <s v="&lt;16 yrs"/>
    <x v="0"/>
    <n v="10.4"/>
    <n v="10"/>
    <n v="10.8"/>
    <n v="4695"/>
    <n v="45184"/>
    <s v="Cannot be calculated"/>
    <x v="3"/>
    <s v="Better"/>
    <n v="20240000"/>
    <s v="1y"/>
  </r>
  <r>
    <s v="B01b - Children in absolute low income families (under 16s)"/>
    <x v="1"/>
    <x v="141"/>
    <s v="&lt;16 yrs"/>
    <x v="0"/>
    <n v="10.4"/>
    <n v="10.1"/>
    <n v="10.6"/>
    <n v="14256"/>
    <n v="137489"/>
    <s v="Cannot be calculated"/>
    <x v="3"/>
    <s v="Better"/>
    <n v="20240000"/>
    <s v="1y"/>
  </r>
  <r>
    <s v="B01b - Children in absolute low income families (under 16s)"/>
    <x v="1"/>
    <x v="142"/>
    <s v="&lt;16 yrs"/>
    <x v="0"/>
    <n v="10.199999999999999"/>
    <n v="9.6999999999999993"/>
    <n v="10.6"/>
    <n v="3255"/>
    <n v="32026"/>
    <s v="Cannot be calculated"/>
    <x v="3"/>
    <s v="Better"/>
    <n v="20240000"/>
    <s v="1y"/>
  </r>
  <r>
    <s v="B01b - Children in absolute low income families (under 16s)"/>
    <x v="1"/>
    <x v="143"/>
    <s v="&lt;16 yrs"/>
    <x v="0"/>
    <n v="9.6"/>
    <n v="9.1"/>
    <n v="10"/>
    <n v="2951"/>
    <n v="30849"/>
    <s v="Cannot be calculated"/>
    <x v="3"/>
    <s v="Better"/>
    <n v="20240000"/>
    <s v="1y"/>
  </r>
  <r>
    <s v="B01b - Children in absolute low income families (under 16s)"/>
    <x v="1"/>
    <x v="144"/>
    <s v="&lt;16 yrs"/>
    <x v="0"/>
    <n v="8.9"/>
    <n v="5.3"/>
    <n v="14.4"/>
    <n v="27"/>
    <n v="305"/>
    <s v="Cannot be calculated"/>
    <x v="3"/>
    <s v="Better"/>
    <n v="20240000"/>
    <s v="1y"/>
  </r>
  <r>
    <s v="B01b - Children in absolute low income families (under 16s)"/>
    <x v="1"/>
    <x v="145"/>
    <s v="&lt;16 yrs"/>
    <x v="0"/>
    <n v="8.5"/>
    <n v="8.1"/>
    <n v="9"/>
    <n v="2199"/>
    <n v="25759"/>
    <s v="Cannot be calculated"/>
    <x v="3"/>
    <s v="Better"/>
    <n v="20240000"/>
    <s v="1y"/>
  </r>
  <r>
    <s v="B01b - Children in absolute low income families (under 16s)"/>
    <x v="1"/>
    <x v="146"/>
    <s v="&lt;16 yrs"/>
    <x v="0"/>
    <n v="8.3000000000000007"/>
    <n v="8.1999999999999993"/>
    <n v="8.5"/>
    <n v="19751"/>
    <n v="236750"/>
    <s v="Cannot be calculated"/>
    <x v="3"/>
    <s v="Better"/>
    <n v="20240000"/>
    <s v="1y"/>
  </r>
  <r>
    <s v="B01b - Children in absolute low income families (under 16s)"/>
    <x v="1"/>
    <x v="147"/>
    <s v="&lt;16 yrs"/>
    <x v="0"/>
    <n v="8.1999999999999993"/>
    <n v="7.9"/>
    <n v="8.5"/>
    <n v="5319"/>
    <n v="65182"/>
    <s v="Cannot be calculated"/>
    <x v="3"/>
    <s v="Better"/>
    <n v="20240000"/>
    <s v="1y"/>
  </r>
  <r>
    <s v="B01b - Children in absolute low income families (under 16s)"/>
    <x v="1"/>
    <x v="148"/>
    <s v="&lt;16 yrs"/>
    <x v="0"/>
    <n v="8"/>
    <n v="7.6"/>
    <n v="8.5"/>
    <n v="2637"/>
    <n v="32844"/>
    <s v="Cannot be calculated"/>
    <x v="3"/>
    <s v="Better"/>
    <n v="20240000"/>
    <s v="1y"/>
  </r>
  <r>
    <s v="B01b - Children in absolute low income families (under 16s)"/>
    <x v="1"/>
    <x v="149"/>
    <s v="&lt;16 yrs"/>
    <x v="0"/>
    <n v="8"/>
    <n v="7.5"/>
    <n v="8.6"/>
    <n v="1609"/>
    <n v="20053"/>
    <s v="Cannot be calculated"/>
    <x v="3"/>
    <s v="Better"/>
    <n v="20240000"/>
    <s v="1y"/>
  </r>
  <r>
    <s v="B01b - Children in absolute low income families (under 16s)"/>
    <x v="1"/>
    <x v="150"/>
    <s v="&lt;16 yrs"/>
    <x v="0"/>
    <n v="7.7"/>
    <n v="7.2"/>
    <n v="8.1"/>
    <n v="2306"/>
    <n v="30120"/>
    <s v="Cannot be calculated"/>
    <x v="3"/>
    <s v="Better"/>
    <n v="20240000"/>
    <s v="1y"/>
  </r>
  <r>
    <s v="B01b - Children in absolute low income families (under 16s)"/>
    <x v="1"/>
    <x v="151"/>
    <s v="&lt;16 yrs"/>
    <x v="0"/>
    <n v="6.9"/>
    <n v="4.7"/>
    <n v="10"/>
    <n v="49"/>
    <n v="712"/>
    <s v="Cannot be calculated"/>
    <x v="3"/>
    <s v="Better"/>
    <n v="20240000"/>
    <s v="1y"/>
  </r>
  <r>
    <s v="B01b - Children in absolute low income families (under 16s)"/>
    <x v="1"/>
    <x v="152"/>
    <s v="&lt;16 yrs"/>
    <x v="0"/>
    <n v="6.4"/>
    <n v="6.1"/>
    <n v="6.8"/>
    <n v="2534"/>
    <n v="39348"/>
    <s v="Cannot be calculated"/>
    <x v="3"/>
    <s v="Better"/>
    <n v="20240000"/>
    <s v="1y"/>
  </r>
  <r>
    <s v="B01b - Children in absolute low income families (under 16s)"/>
    <x v="1"/>
    <x v="153"/>
    <s v="&lt;16 yrs"/>
    <x v="0"/>
    <n v="5.2"/>
    <n v="4.9000000000000004"/>
    <n v="5.5"/>
    <n v="2015"/>
    <n v="38935"/>
    <s v="Cannot be calculated"/>
    <x v="3"/>
    <s v="Better"/>
    <n v="20240000"/>
    <s v="1y"/>
  </r>
  <r>
    <m/>
    <x v="0"/>
    <x v="154"/>
    <m/>
    <x v="1"/>
    <m/>
    <m/>
    <m/>
    <m/>
    <m/>
    <m/>
    <x v="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n v="90632"/>
    <s v="B02a - School readiness: percentage of children with free school meal status achieving a good level of development at the end of Reception"/>
    <x v="0"/>
    <s v="England"/>
    <s v="Persons"/>
    <s v="5 yrs"/>
    <s v="2024/25"/>
    <n v="51.257100000000001"/>
    <n v="50.947699999999998"/>
    <n v="51.566499999999998"/>
    <n v="50.769199999999998"/>
    <n v="51.744799999999998"/>
    <n v="51394"/>
    <n v="100267"/>
  </r>
  <r>
    <n v="90632"/>
    <s v="B02a - School readiness: percentage of children with free school meal status achieving a good level of development at the end of Reception"/>
    <x v="1"/>
    <s v="Upper tier local authorities (post 4/23)"/>
    <s v="Persons"/>
    <s v="5 yrs"/>
    <s v="2024/25"/>
    <n v="100"/>
    <n v="56.5518"/>
    <n v="100"/>
    <n v="34.365400000000001"/>
    <n v="100"/>
    <n v="5"/>
    <n v="5"/>
  </r>
  <r>
    <n v="90632"/>
    <s v="B02a - School readiness: percentage of children with free school meal status achieving a good level of development at the end of Reception"/>
    <x v="2"/>
    <s v="Upper tier local authorities (post 4/23)"/>
    <s v="Persons"/>
    <s v="5 yrs"/>
    <s v="2024/25"/>
    <n v="65.905799999999999"/>
    <n v="62.318600000000004"/>
    <n v="69.319699999999997"/>
    <n v="60.192599999999999"/>
    <n v="71.191599999999994"/>
    <n v="462"/>
    <n v="701"/>
  </r>
  <r>
    <n v="90632"/>
    <s v="B02a - School readiness: percentage of children with free school meal status achieving a good level of development at the end of Reception"/>
    <x v="3"/>
    <s v="Upper tier local authorities (post 4/23)"/>
    <s v="Persons"/>
    <s v="5 yrs"/>
    <s v="2024/25"/>
    <n v="64.379099999999994"/>
    <n v="58.865699999999997"/>
    <n v="69.536000000000001"/>
    <n v="55.601900000000001"/>
    <n v="72.286000000000001"/>
    <n v="197"/>
    <n v="306"/>
  </r>
  <r>
    <n v="90632"/>
    <s v="B02a - School readiness: percentage of children with free school meal status achieving a good level of development at the end of Reception"/>
    <x v="4"/>
    <s v="Upper tier local authorities (post 4/23)"/>
    <s v="Persons"/>
    <s v="5 yrs"/>
    <s v="2024/25"/>
    <n v="64.182400000000001"/>
    <n v="60.994"/>
    <n v="67.250200000000007"/>
    <n v="59.115499999999997"/>
    <n v="68.9512"/>
    <n v="577"/>
    <n v="899"/>
  </r>
  <r>
    <n v="90632"/>
    <s v="B02a - School readiness: percentage of children with free school meal status achieving a good level of development at the end of Reception"/>
    <x v="5"/>
    <s v="Upper tier local authorities (post 4/23)"/>
    <s v="Persons"/>
    <s v="5 yrs"/>
    <s v="2024/25"/>
    <n v="63.636400000000002"/>
    <n v="59.0989"/>
    <n v="67.9435"/>
    <n v="56.420900000000003"/>
    <n v="70.286299999999997"/>
    <n v="287"/>
    <n v="451"/>
  </r>
  <r>
    <n v="90632"/>
    <s v="B02a - School readiness: percentage of children with free school meal status achieving a good level of development at the end of Reception"/>
    <x v="6"/>
    <s v="Upper tier local authorities (post 4/23)"/>
    <s v="Persons"/>
    <s v="5 yrs"/>
    <s v="2024/25"/>
    <n v="63.145499999999998"/>
    <n v="58.466099999999997"/>
    <n v="67.59"/>
    <n v="55.708399999999997"/>
    <n v="70.006299999999996"/>
    <n v="269"/>
    <n v="426"/>
  </r>
  <r>
    <n v="90632"/>
    <s v="B02a - School readiness: percentage of children with free school meal status achieving a good level of development at the end of Reception"/>
    <x v="7"/>
    <s v="Upper tier local authorities (post 4/23)"/>
    <s v="Persons"/>
    <s v="5 yrs"/>
    <s v="2024/25"/>
    <n v="62.331800000000001"/>
    <n v="59.105499999999999"/>
    <n v="65.452399999999997"/>
    <n v="57.212499999999999"/>
    <n v="67.189899999999994"/>
    <n v="556"/>
    <n v="892"/>
  </r>
  <r>
    <n v="90632"/>
    <s v="B02a - School readiness: percentage of children with free school meal status achieving a good level of development at the end of Reception"/>
    <x v="8"/>
    <s v="Upper tier local authorities (post 4/23)"/>
    <s v="Persons"/>
    <s v="5 yrs"/>
    <s v="2024/25"/>
    <n v="61.980800000000002"/>
    <n v="56.488500000000002"/>
    <n v="67.182699999999997"/>
    <n v="53.265999999999998"/>
    <n v="69.9863"/>
    <n v="194"/>
    <n v="313"/>
  </r>
  <r>
    <n v="90632"/>
    <s v="B02a - School readiness: percentage of children with free school meal status achieving a good level of development at the end of Reception"/>
    <x v="9"/>
    <s v="Upper tier local authorities (post 4/23)"/>
    <s v="Persons"/>
    <s v="5 yrs"/>
    <s v="2024/25"/>
    <n v="61.927700000000002"/>
    <n v="57.166800000000002"/>
    <n v="66.469800000000006"/>
    <n v="54.372100000000003"/>
    <n v="68.946700000000007"/>
    <n v="257"/>
    <n v="415"/>
  </r>
  <r>
    <n v="90632"/>
    <s v="B02a - School readiness: percentage of children with free school meal status achieving a good level of development at the end of Reception"/>
    <x v="10"/>
    <s v="Upper tier local authorities (post 4/23)"/>
    <s v="Persons"/>
    <s v="5 yrs"/>
    <s v="2024/25"/>
    <n v="61.283999999999999"/>
    <n v="57.004199999999997"/>
    <n v="65.396500000000003"/>
    <n v="54.496400000000001"/>
    <n v="67.66"/>
    <n v="315"/>
    <n v="514"/>
  </r>
  <r>
    <n v="90632"/>
    <s v="B02a - School readiness: percentage of children with free school meal status achieving a good level of development at the end of Reception"/>
    <x v="11"/>
    <s v="Upper tier local authorities (post 4/23)"/>
    <s v="Persons"/>
    <s v="5 yrs"/>
    <s v="2024/25"/>
    <n v="61.021900000000002"/>
    <n v="57.317900000000002"/>
    <n v="64.602999999999994"/>
    <n v="55.149700000000003"/>
    <n v="66.590999999999994"/>
    <n v="418"/>
    <n v="685"/>
  </r>
  <r>
    <n v="90632"/>
    <s v="B02a - School readiness: percentage of children with free school meal status achieving a good level of development at the end of Reception"/>
    <x v="12"/>
    <s v="Upper tier local authorities (post 4/23)"/>
    <s v="Persons"/>
    <s v="5 yrs"/>
    <s v="2024/25"/>
    <n v="60.411900000000003"/>
    <n v="55.755200000000002"/>
    <n v="64.887200000000007"/>
    <n v="53.034199999999998"/>
    <n v="67.344200000000001"/>
    <n v="264"/>
    <n v="437"/>
  </r>
  <r>
    <n v="90632"/>
    <s v="B02a - School readiness: percentage of children with free school meal status achieving a good level of development at the end of Reception"/>
    <x v="13"/>
    <s v="Upper tier local authorities (post 4/23)"/>
    <s v="Persons"/>
    <s v="5 yrs"/>
    <s v="2024/25"/>
    <n v="60.216299999999997"/>
    <n v="56.850900000000003"/>
    <n v="63.487900000000003"/>
    <n v="54.885199999999998"/>
    <n v="65.315600000000003"/>
    <n v="501"/>
    <n v="832"/>
  </r>
  <r>
    <n v="90632"/>
    <s v="B02a - School readiness: percentage of children with free school meal status achieving a good level of development at the end of Reception"/>
    <x v="14"/>
    <s v="Upper tier local authorities (post 4/23)"/>
    <s v="Persons"/>
    <s v="5 yrs"/>
    <s v="2024/25"/>
    <n v="60.020800000000001"/>
    <n v="56.893000000000001"/>
    <n v="63.068899999999999"/>
    <n v="55.067300000000003"/>
    <n v="64.7774"/>
    <n v="578"/>
    <n v="963"/>
  </r>
  <r>
    <n v="90632"/>
    <s v="B02a - School readiness: percentage of children with free school meal status achieving a good level of development at the end of Reception"/>
    <x v="15"/>
    <s v="Upper tier local authorities (post 4/23)"/>
    <s v="Persons"/>
    <s v="5 yrs"/>
    <s v="2024/25"/>
    <n v="59.745800000000003"/>
    <n v="53.3812"/>
    <n v="65.798100000000005"/>
    <n v="49.688099999999999"/>
    <n v="69.045400000000001"/>
    <n v="141"/>
    <n v="236"/>
  </r>
  <r>
    <n v="90632"/>
    <s v="B02a - School readiness: percentage of children with free school meal status achieving a good level of development at the end of Reception"/>
    <x v="16"/>
    <s v="Upper tier local authorities (post 4/23)"/>
    <s v="Persons"/>
    <s v="5 yrs"/>
    <s v="2024/25"/>
    <n v="59.481099999999998"/>
    <n v="58.076599999999999"/>
    <n v="60.8703"/>
    <n v="57.260899999999999"/>
    <n v="61.663200000000003"/>
    <n v="2820"/>
    <n v="4741"/>
  </r>
  <r>
    <n v="90632"/>
    <s v="B02a - School readiness: percentage of children with free school meal status achieving a good level of development at the end of Reception"/>
    <x v="17"/>
    <s v="Upper tier local authorities (post 4/23)"/>
    <s v="Persons"/>
    <s v="5 yrs"/>
    <s v="2024/25"/>
    <n v="59.128999999999998"/>
    <n v="55.139400000000002"/>
    <n v="63.001800000000003"/>
    <n v="52.815300000000001"/>
    <n v="65.155199999999994"/>
    <n v="353"/>
    <n v="597"/>
  </r>
  <r>
    <n v="90632"/>
    <s v="B02a - School readiness: percentage of children with free school meal status achieving a good level of development at the end of Reception"/>
    <x v="18"/>
    <s v="Upper tier local authorities (post 4/23)"/>
    <s v="Persons"/>
    <s v="5 yrs"/>
    <s v="2024/25"/>
    <n v="58.974400000000003"/>
    <n v="53.439399999999999"/>
    <n v="64.290999999999997"/>
    <n v="50.226999999999997"/>
    <n v="67.188699999999997"/>
    <n v="184"/>
    <n v="312"/>
  </r>
  <r>
    <n v="90632"/>
    <s v="B02a - School readiness: percentage of children with free school meal status achieving a good level of development at the end of Reception"/>
    <x v="19"/>
    <s v="Upper tier local authorities (post 4/23)"/>
    <s v="Persons"/>
    <s v="5 yrs"/>
    <s v="2024/25"/>
    <n v="58.134900000000002"/>
    <n v="53.782200000000003"/>
    <n v="62.3645"/>
    <n v="51.254600000000003"/>
    <n v="64.712699999999998"/>
    <n v="293"/>
    <n v="504"/>
  </r>
  <r>
    <n v="90632"/>
    <s v="B02a - School readiness: percentage of children with free school meal status achieving a good level of development at the end of Reception"/>
    <x v="20"/>
    <s v="Upper tier local authorities (post 4/23)"/>
    <s v="Persons"/>
    <s v="5 yrs"/>
    <s v="2024/25"/>
    <n v="58.123800000000003"/>
    <n v="55.091999999999999"/>
    <n v="61.095399999999998"/>
    <n v="53.3294"/>
    <n v="62.769500000000001"/>
    <n v="601"/>
    <n v="1034"/>
  </r>
  <r>
    <n v="90632"/>
    <s v="B02a - School readiness: percentage of children with free school meal status achieving a good level of development at the end of Reception"/>
    <x v="21"/>
    <s v="Upper tier local authorities (post 4/23)"/>
    <s v="Persons"/>
    <s v="5 yrs"/>
    <s v="2024/25"/>
    <n v="58.070500000000003"/>
    <n v="53.862000000000002"/>
    <n v="62.164700000000003"/>
    <n v="51.417900000000003"/>
    <n v="64.442099999999996"/>
    <n v="313"/>
    <n v="539"/>
  </r>
  <r>
    <n v="90632"/>
    <s v="B02a - School readiness: percentage of children with free school meal status achieving a good level of development at the end of Reception"/>
    <x v="22"/>
    <s v="Upper tier local authorities (post 4/23)"/>
    <s v="Persons"/>
    <s v="5 yrs"/>
    <s v="2024/25"/>
    <n v="57.1235"/>
    <n v="53.522599999999997"/>
    <n v="60.650399999999998"/>
    <n v="51.4343"/>
    <n v="62.630400000000002"/>
    <n v="421"/>
    <n v="737"/>
  </r>
  <r>
    <n v="90632"/>
    <s v="B02a - School readiness: percentage of children with free school meal status achieving a good level of development at the end of Reception"/>
    <x v="23"/>
    <s v="Upper tier local authorities (post 4/23)"/>
    <s v="Persons"/>
    <s v="5 yrs"/>
    <s v="2024/25"/>
    <n v="57.009300000000003"/>
    <n v="52.7791"/>
    <n v="61.139699999999998"/>
    <n v="50.3294"/>
    <n v="63.4435"/>
    <n v="305"/>
    <n v="535"/>
  </r>
  <r>
    <n v="90632"/>
    <s v="B02a - School readiness: percentage of children with free school meal status achieving a good level of development at the end of Reception"/>
    <x v="24"/>
    <s v="Upper tier local authorities (post 4/23)"/>
    <s v="Persons"/>
    <s v="5 yrs"/>
    <s v="2024/25"/>
    <n v="56.901400000000002"/>
    <n v="51.703200000000002"/>
    <n v="61.951799999999999"/>
    <n v="48.703499999999998"/>
    <n v="64.737700000000004"/>
    <n v="202"/>
    <n v="355"/>
  </r>
  <r>
    <n v="90632"/>
    <s v="B02a - School readiness: percentage of children with free school meal status achieving a good level of development at the end of Reception"/>
    <x v="25"/>
    <s v="Upper tier local authorities (post 4/23)"/>
    <s v="Persons"/>
    <s v="5 yrs"/>
    <s v="2024/25"/>
    <n v="56.530200000000001"/>
    <n v="52.207700000000003"/>
    <n v="60.755600000000001"/>
    <n v="49.708500000000001"/>
    <n v="63.113300000000002"/>
    <n v="290"/>
    <n v="513"/>
  </r>
  <r>
    <n v="90632"/>
    <s v="B02a - School readiness: percentage of children with free school meal status achieving a good level of development at the end of Reception"/>
    <x v="26"/>
    <s v="Upper tier local authorities (post 4/23)"/>
    <s v="Persons"/>
    <s v="5 yrs"/>
    <s v="2024/25"/>
    <n v="56.13"/>
    <n v="52.367800000000003"/>
    <n v="59.823"/>
    <n v="50.191699999999997"/>
    <n v="61.897799999999997"/>
    <n v="380"/>
    <n v="677"/>
  </r>
  <r>
    <n v="90632"/>
    <s v="B02a - School readiness: percentage of children with free school meal status achieving a good level of development at the end of Reception"/>
    <x v="27"/>
    <s v="Upper tier local authorities (post 4/23)"/>
    <s v="Persons"/>
    <s v="5 yrs"/>
    <s v="2024/25"/>
    <n v="56.042299999999997"/>
    <n v="52.237299999999998"/>
    <n v="59.7776"/>
    <n v="50.036999999999999"/>
    <n v="61.875700000000002"/>
    <n v="371"/>
    <n v="662"/>
  </r>
  <r>
    <n v="90632"/>
    <s v="B02a - School readiness: percentage of children with free school meal status achieving a good level of development at the end of Reception"/>
    <x v="28"/>
    <s v="Upper tier local authorities (post 4/23)"/>
    <s v="Persons"/>
    <s v="5 yrs"/>
    <s v="2024/25"/>
    <n v="55.974800000000002"/>
    <n v="51.489800000000002"/>
    <n v="60.364400000000003"/>
    <n v="48.901899999999998"/>
    <n v="62.813200000000002"/>
    <n v="267"/>
    <n v="477"/>
  </r>
  <r>
    <n v="90632"/>
    <s v="B02a - School readiness: percentage of children with free school meal status achieving a good level of development at the end of Reception"/>
    <x v="29"/>
    <s v="Upper tier local authorities (post 4/23)"/>
    <s v="Persons"/>
    <s v="5 yrs"/>
    <s v="2024/25"/>
    <n v="55.814"/>
    <n v="49.131500000000003"/>
    <n v="62.292299999999997"/>
    <n v="45.322600000000001"/>
    <n v="65.8108"/>
    <n v="120"/>
    <n v="215"/>
  </r>
  <r>
    <n v="90632"/>
    <s v="B02a - School readiness: percentage of children with free school meal status achieving a good level of development at the end of Reception"/>
    <x v="30"/>
    <s v="Upper tier local authorities (post 4/23)"/>
    <s v="Persons"/>
    <s v="5 yrs"/>
    <s v="2024/25"/>
    <n v="55.6995"/>
    <n v="50.712000000000003"/>
    <n v="60.574599999999997"/>
    <n v="47.842399999999998"/>
    <n v="63.281399999999998"/>
    <n v="215"/>
    <n v="386"/>
  </r>
  <r>
    <n v="90632"/>
    <s v="B02a - School readiness: percentage of children with free school meal status achieving a good level of development at the end of Reception"/>
    <x v="31"/>
    <s v="Upper tier local authorities (post 4/23)"/>
    <s v="Persons"/>
    <s v="5 yrs"/>
    <s v="2024/25"/>
    <n v="55.6845"/>
    <n v="50.9649"/>
    <n v="60.3035"/>
    <n v="48.246499999999997"/>
    <n v="62.875999999999998"/>
    <n v="240"/>
    <n v="431"/>
  </r>
  <r>
    <n v="90632"/>
    <s v="B02a - School readiness: percentage of children with free school meal status achieving a good level of development at the end of Reception"/>
    <x v="32"/>
    <s v="Upper tier local authorities (post 4/23)"/>
    <s v="Persons"/>
    <s v="5 yrs"/>
    <s v="2024/25"/>
    <n v="55.555599999999998"/>
    <n v="51.441699999999997"/>
    <n v="59.5946"/>
    <n v="49.067799999999998"/>
    <n v="61.859299999999998"/>
    <n v="315"/>
    <n v="567"/>
  </r>
  <r>
    <n v="90632"/>
    <s v="B02a - School readiness: percentage of children with free school meal status achieving a good level of development at the end of Reception"/>
    <x v="33"/>
    <s v="Upper tier local authorities (post 4/23)"/>
    <s v="Persons"/>
    <s v="5 yrs"/>
    <s v="2024/25"/>
    <n v="55.462200000000003"/>
    <n v="46.500700000000002"/>
    <n v="64.081999999999994"/>
    <n v="41.504100000000001"/>
    <n v="68.608699999999999"/>
    <n v="66"/>
    <n v="119"/>
  </r>
  <r>
    <n v="90632"/>
    <s v="B02a - School readiness: percentage of children with free school meal status achieving a good level of development at the end of Reception"/>
    <x v="34"/>
    <s v="Upper tier local authorities (post 4/23)"/>
    <s v="Persons"/>
    <s v="5 yrs"/>
    <s v="2024/25"/>
    <n v="55.0914"/>
    <n v="50.0839"/>
    <n v="59.997700000000002"/>
    <n v="47.208500000000001"/>
    <n v="62.726500000000001"/>
    <n v="211"/>
    <n v="383"/>
  </r>
  <r>
    <n v="90632"/>
    <s v="B02a - School readiness: percentage of children with free school meal status achieving a good level of development at the end of Reception"/>
    <x v="35"/>
    <s v="Upper tier local authorities (post 4/23)"/>
    <s v="Persons"/>
    <s v="5 yrs"/>
    <s v="2024/25"/>
    <n v="55"/>
    <n v="50.328200000000002"/>
    <n v="59.5852"/>
    <n v="47.642099999999999"/>
    <n v="62.145400000000002"/>
    <n v="242"/>
    <n v="440"/>
  </r>
  <r>
    <n v="90632"/>
    <s v="B02a - School readiness: percentage of children with free school meal status achieving a good level of development at the end of Reception"/>
    <x v="36"/>
    <s v="Upper tier local authorities (post 4/23)"/>
    <s v="Persons"/>
    <s v="5 yrs"/>
    <s v="2024/25"/>
    <n v="55"/>
    <n v="51.065199999999997"/>
    <n v="58.873199999999997"/>
    <n v="48.796500000000002"/>
    <n v="61.0518"/>
    <n v="341"/>
    <n v="620"/>
  </r>
  <r>
    <n v="90632"/>
    <s v="B02a - School readiness: percentage of children with free school meal status achieving a good level of development at the end of Reception"/>
    <x v="37"/>
    <s v="Upper tier local authorities (post 4/23)"/>
    <s v="Persons"/>
    <s v="5 yrs"/>
    <s v="2024/25"/>
    <n v="54.615400000000001"/>
    <n v="49.653199999999998"/>
    <n v="59.4876"/>
    <n v="46.807400000000001"/>
    <n v="62.202800000000003"/>
    <n v="213"/>
    <n v="390"/>
  </r>
  <r>
    <n v="90632"/>
    <s v="B02a - School readiness: percentage of children with free school meal status achieving a good level of development at the end of Reception"/>
    <x v="38"/>
    <s v="Upper tier local authorities (post 4/23)"/>
    <s v="Persons"/>
    <s v="5 yrs"/>
    <s v="2024/25"/>
    <n v="54.577500000000001"/>
    <n v="48.764099999999999"/>
    <n v="60.268599999999999"/>
    <n v="45.447000000000003"/>
    <n v="63.4101"/>
    <n v="155"/>
    <n v="284"/>
  </r>
  <r>
    <n v="90632"/>
    <s v="B02a - School readiness: percentage of children with free school meal status achieving a good level of development at the end of Reception"/>
    <x v="39"/>
    <s v="Upper tier local authorities (post 4/23)"/>
    <s v="Persons"/>
    <s v="5 yrs"/>
    <s v="2024/25"/>
    <n v="54.505800000000001"/>
    <n v="50.770099999999999"/>
    <n v="58.191499999999998"/>
    <n v="48.617400000000004"/>
    <n v="60.270899999999997"/>
    <n v="375"/>
    <n v="688"/>
  </r>
  <r>
    <n v="90632"/>
    <s v="B02a - School readiness: percentage of children with free school meal status achieving a good level of development at the end of Reception"/>
    <x v="40"/>
    <s v="Upper tier local authorities (post 4/23)"/>
    <s v="Persons"/>
    <s v="5 yrs"/>
    <s v="2024/25"/>
    <n v="54.247700000000002"/>
    <n v="51.113199999999999"/>
    <n v="57.3489"/>
    <n v="49.304900000000004"/>
    <n v="59.1083"/>
    <n v="530"/>
    <n v="977"/>
  </r>
  <r>
    <n v="90632"/>
    <s v="B02a - School readiness: percentage of children with free school meal status achieving a good level of development at the end of Reception"/>
    <x v="41"/>
    <s v="Upper tier local authorities (post 4/23)"/>
    <s v="Persons"/>
    <s v="5 yrs"/>
    <s v="2024/25"/>
    <n v="54.094799999999999"/>
    <n v="49.5456"/>
    <n v="58.576799999999999"/>
    <n v="46.935299999999998"/>
    <n v="61.089199999999998"/>
    <n v="251"/>
    <n v="464"/>
  </r>
  <r>
    <n v="90632"/>
    <s v="B02a - School readiness: percentage of children with free school meal status achieving a good level of development at the end of Reception"/>
    <x v="42"/>
    <s v="Upper tier local authorities (post 4/23)"/>
    <s v="Persons"/>
    <s v="5 yrs"/>
    <s v="2024/25"/>
    <n v="54.021000000000001"/>
    <n v="49.923499999999997"/>
    <n v="58.064799999999998"/>
    <n v="47.568199999999997"/>
    <n v="60.341700000000003"/>
    <n v="309"/>
    <n v="572"/>
  </r>
  <r>
    <n v="90632"/>
    <s v="B02a - School readiness: percentage of children with free school meal status achieving a good level of development at the end of Reception"/>
    <x v="43"/>
    <s v="Upper tier local authorities (post 4/23)"/>
    <s v="Persons"/>
    <s v="5 yrs"/>
    <s v="2024/25"/>
    <n v="53.846200000000003"/>
    <n v="50.500700000000002"/>
    <n v="57.157299999999999"/>
    <n v="48.573399999999999"/>
    <n v="59.034300000000002"/>
    <n v="462"/>
    <n v="858"/>
  </r>
  <r>
    <n v="90632"/>
    <s v="B02a - School readiness: percentage of children with free school meal status achieving a good level of development at the end of Reception"/>
    <x v="44"/>
    <s v="Upper tier local authorities (post 4/23)"/>
    <s v="Persons"/>
    <s v="5 yrs"/>
    <s v="2024/25"/>
    <n v="53.829300000000003"/>
    <n v="49.245699999999999"/>
    <n v="58.3491"/>
    <n v="46.618099999999998"/>
    <n v="60.883800000000001"/>
    <n v="246"/>
    <n v="457"/>
  </r>
  <r>
    <n v="90632"/>
    <s v="B02a - School readiness: percentage of children with free school meal status achieving a good level of development at the end of Reception"/>
    <x v="45"/>
    <s v="Upper tier local authorities (post 4/23)"/>
    <s v="Persons"/>
    <s v="5 yrs"/>
    <s v="2024/25"/>
    <n v="53.791499999999999"/>
    <n v="50.418399999999998"/>
    <n v="57.130200000000002"/>
    <n v="48.4754"/>
    <n v="59.0227"/>
    <n v="454"/>
    <n v="844"/>
  </r>
  <r>
    <n v="90632"/>
    <s v="B02a - School readiness: percentage of children with free school meal status achieving a good level of development at the end of Reception"/>
    <x v="46"/>
    <s v="Upper tier local authorities (post 4/23)"/>
    <s v="Persons"/>
    <s v="5 yrs"/>
    <s v="2024/25"/>
    <n v="53.6145"/>
    <n v="48.239400000000003"/>
    <n v="58.906799999999997"/>
    <n v="45.174100000000003"/>
    <n v="61.852699999999999"/>
    <n v="178"/>
    <n v="332"/>
  </r>
  <r>
    <n v="90632"/>
    <s v="B02a - School readiness: percentage of children with free school meal status achieving a good level of development at the end of Reception"/>
    <x v="47"/>
    <s v="Upper tier local authorities (post 4/23)"/>
    <s v="Persons"/>
    <s v="5 yrs"/>
    <s v="2024/25"/>
    <n v="53.543300000000002"/>
    <n v="44.892899999999997"/>
    <n v="61.985700000000001"/>
    <n v="40.1038"/>
    <n v="66.487200000000001"/>
    <n v="68"/>
    <n v="127"/>
  </r>
  <r>
    <n v="90632"/>
    <s v="B02a - School readiness: percentage of children with free school meal status achieving a good level of development at the end of Reception"/>
    <x v="48"/>
    <s v="Upper tier local authorities (post 4/23)"/>
    <s v="Persons"/>
    <s v="5 yrs"/>
    <s v="2024/25"/>
    <n v="53.507599999999996"/>
    <n v="49.872999999999998"/>
    <n v="57.105200000000004"/>
    <n v="47.782699999999998"/>
    <n v="59.141500000000001"/>
    <n v="389"/>
    <n v="727"/>
  </r>
  <r>
    <n v="90632"/>
    <s v="B02a - School readiness: percentage of children with free school meal status achieving a good level of development at the end of Reception"/>
    <x v="49"/>
    <s v="Upper tier local authorities (post 4/23)"/>
    <s v="Persons"/>
    <s v="5 yrs"/>
    <s v="2024/25"/>
    <n v="53.472200000000001"/>
    <n v="49.389299999999999"/>
    <n v="57.5092"/>
    <n v="47.045499999999997"/>
    <n v="59.785699999999999"/>
    <n v="308"/>
    <n v="576"/>
  </r>
  <r>
    <n v="90632"/>
    <s v="B02a - School readiness: percentage of children with free school meal status achieving a good level of development at the end of Reception"/>
    <x v="50"/>
    <s v="Upper tier local authorities (post 4/23)"/>
    <s v="Persons"/>
    <s v="5 yrs"/>
    <s v="2024/25"/>
    <n v="53.378399999999999"/>
    <n v="48.729100000000003"/>
    <n v="57.969700000000003"/>
    <n v="46.068300000000001"/>
    <n v="60.546199999999999"/>
    <n v="237"/>
    <n v="444"/>
  </r>
  <r>
    <n v="90632"/>
    <s v="B02a - School readiness: percentage of children with free school meal status achieving a good level of development at the end of Reception"/>
    <x v="51"/>
    <s v="Upper tier local authorities (post 4/23)"/>
    <s v="Persons"/>
    <s v="5 yrs"/>
    <s v="2024/25"/>
    <n v="53.172199999999997"/>
    <n v="49.363700000000001"/>
    <n v="56.944099999999999"/>
    <n v="47.176499999999997"/>
    <n v="59.0777"/>
    <n v="352"/>
    <n v="662"/>
  </r>
  <r>
    <n v="90632"/>
    <s v="B02a - School readiness: percentage of children with free school meal status achieving a good level of development at the end of Reception"/>
    <x v="52"/>
    <s v="Upper tier local authorities (post 4/23)"/>
    <s v="Persons"/>
    <s v="5 yrs"/>
    <s v="2024/25"/>
    <n v="53.168999999999997"/>
    <n v="49.0578"/>
    <n v="57.2376"/>
    <n v="46.7"/>
    <n v="59.533200000000001"/>
    <n v="302"/>
    <n v="568"/>
  </r>
  <r>
    <n v="90632"/>
    <s v="B02a - School readiness: percentage of children with free school meal status achieving a good level of development at the end of Reception"/>
    <x v="53"/>
    <s v="Upper tier local authorities (post 4/23)"/>
    <s v="Persons"/>
    <s v="5 yrs"/>
    <s v="2024/25"/>
    <n v="53.0854"/>
    <n v="51.136899999999997"/>
    <n v="55.024700000000003"/>
    <n v="50.0124"/>
    <n v="56.135300000000001"/>
    <n v="1342"/>
    <n v="2528"/>
  </r>
  <r>
    <n v="90632"/>
    <s v="B02a - School readiness: percentage of children with free school meal status achieving a good level of development at the end of Reception"/>
    <x v="54"/>
    <s v="Upper tier local authorities (post 4/23)"/>
    <s v="Persons"/>
    <s v="5 yrs"/>
    <s v="2024/25"/>
    <n v="53.0075"/>
    <n v="50.0032"/>
    <n v="55.990200000000002"/>
    <n v="48.273499999999999"/>
    <n v="57.688000000000002"/>
    <n v="564"/>
    <n v="1064"/>
  </r>
  <r>
    <n v="90632"/>
    <s v="B02a - School readiness: percentage of children with free school meal status achieving a good level of development at the end of Reception"/>
    <x v="55"/>
    <s v="Upper tier local authorities (post 4/23)"/>
    <s v="Persons"/>
    <s v="5 yrs"/>
    <s v="2024/25"/>
    <n v="52.677"/>
    <n v="48.605899999999998"/>
    <n v="56.712800000000001"/>
    <n v="46.273600000000002"/>
    <n v="58.993600000000001"/>
    <n v="305"/>
    <n v="579"/>
  </r>
  <r>
    <n v="90632"/>
    <s v="B02a - School readiness: percentage of children with free school meal status achieving a good level of development at the end of Reception"/>
    <x v="56"/>
    <s v="Upper tier local authorities (post 4/23)"/>
    <s v="Persons"/>
    <s v="5 yrs"/>
    <s v="2024/25"/>
    <n v="52.631599999999999"/>
    <n v="49.543500000000002"/>
    <n v="55.699599999999997"/>
    <n v="47.767400000000002"/>
    <n v="57.446399999999997"/>
    <n v="530"/>
    <n v="1007"/>
  </r>
  <r>
    <n v="90632"/>
    <s v="B02a - School readiness: percentage of children with free school meal status achieving a good level of development at the end of Reception"/>
    <x v="57"/>
    <s v="Upper tier local authorities (post 4/23)"/>
    <s v="Persons"/>
    <s v="5 yrs"/>
    <s v="2024/25"/>
    <n v="52.553199999999997"/>
    <n v="48.0364"/>
    <n v="57.028599999999997"/>
    <n v="45.455599999999997"/>
    <n v="59.549100000000003"/>
    <n v="247"/>
    <n v="470"/>
  </r>
  <r>
    <n v="90632"/>
    <s v="B02a - School readiness: percentage of children with free school meal status achieving a good level of development at the end of Reception"/>
    <x v="58"/>
    <s v="Upper tier local authorities (post 4/23)"/>
    <s v="Persons"/>
    <s v="5 yrs"/>
    <s v="2024/25"/>
    <n v="52.4"/>
    <n v="48.020800000000001"/>
    <n v="56.742600000000003"/>
    <n v="45.517899999999997"/>
    <n v="59.1922"/>
    <n v="262"/>
    <n v="500"/>
  </r>
  <r>
    <n v="90632"/>
    <s v="B02a - School readiness: percentage of children with free school meal status achieving a good level of development at the end of Reception"/>
    <x v="59"/>
    <s v="Upper tier local authorities (post 4/23)"/>
    <s v="Persons"/>
    <s v="5 yrs"/>
    <s v="2024/25"/>
    <n v="52.339199999999998"/>
    <n v="47.049300000000002"/>
    <n v="57.577100000000002"/>
    <n v="44.043599999999998"/>
    <n v="60.507599999999996"/>
    <n v="179"/>
    <n v="342"/>
  </r>
  <r>
    <n v="90632"/>
    <s v="B02a - School readiness: percentage of children with free school meal status achieving a good level of development at the end of Reception"/>
    <x v="60"/>
    <s v="Upper tier local authorities (post 4/23)"/>
    <s v="Persons"/>
    <s v="5 yrs"/>
    <s v="2024/25"/>
    <n v="52.300199999999997"/>
    <n v="47.484200000000001"/>
    <n v="57.073900000000002"/>
    <n v="44.739400000000003"/>
    <n v="59.757100000000001"/>
    <n v="216"/>
    <n v="413"/>
  </r>
  <r>
    <n v="90632"/>
    <s v="B02a - School readiness: percentage of children with free school meal status achieving a good level of development at the end of Reception"/>
    <x v="61"/>
    <s v="Upper tier local authorities (post 4/23)"/>
    <s v="Persons"/>
    <s v="5 yrs"/>
    <s v="2024/25"/>
    <n v="52.295900000000003"/>
    <n v="47.353200000000001"/>
    <n v="57.194099999999999"/>
    <n v="44.538600000000002"/>
    <n v="59.944000000000003"/>
    <n v="205"/>
    <n v="392"/>
  </r>
  <r>
    <n v="90632"/>
    <s v="B02a - School readiness: percentage of children with free school meal status achieving a good level of development at the end of Reception"/>
    <x v="62"/>
    <s v="Upper tier local authorities (post 4/23)"/>
    <s v="Persons"/>
    <s v="5 yrs"/>
    <s v="2024/25"/>
    <n v="52.215200000000003"/>
    <n v="46.714300000000001"/>
    <n v="57.6629"/>
    <n v="43.594799999999999"/>
    <n v="60.705599999999997"/>
    <n v="165"/>
    <n v="316"/>
  </r>
  <r>
    <n v="90632"/>
    <s v="B02a - School readiness: percentage of children with free school meal status achieving a good level of development at the end of Reception"/>
    <x v="63"/>
    <s v="Upper tier local authorities (post 4/23)"/>
    <s v="Persons"/>
    <s v="5 yrs"/>
    <s v="2024/25"/>
    <n v="52.068100000000001"/>
    <n v="48.651299999999999"/>
    <n v="55.465699999999998"/>
    <n v="46.6907"/>
    <n v="57.398000000000003"/>
    <n v="428"/>
    <n v="822"/>
  </r>
  <r>
    <n v="90632"/>
    <s v="B02a - School readiness: percentage of children with free school meal status achieving a good level of development at the end of Reception"/>
    <x v="64"/>
    <s v="Upper tier local authorities (post 4/23)"/>
    <s v="Persons"/>
    <s v="5 yrs"/>
    <s v="2024/25"/>
    <n v="52.040799999999997"/>
    <n v="45.075000000000003"/>
    <n v="58.928199999999997"/>
    <n v="41.177399999999999"/>
    <n v="62.714599999999997"/>
    <n v="102"/>
    <n v="196"/>
  </r>
  <r>
    <n v="90632"/>
    <s v="B02a - School readiness: percentage of children with free school meal status achieving a good level of development at the end of Reception"/>
    <x v="65"/>
    <s v="Upper tier local authorities (post 4/23)"/>
    <s v="Persons"/>
    <s v="5 yrs"/>
    <s v="2024/25"/>
    <n v="51.704500000000003"/>
    <n v="48.014000000000003"/>
    <n v="55.376600000000003"/>
    <n v="45.900799999999997"/>
    <n v="57.462699999999998"/>
    <n v="364"/>
    <n v="704"/>
  </r>
  <r>
    <n v="90632"/>
    <s v="B02a - School readiness: percentage of children with free school meal status achieving a good level of development at the end of Reception"/>
    <x v="66"/>
    <s v="Upper tier local authorities (post 4/23)"/>
    <s v="Persons"/>
    <s v="5 yrs"/>
    <s v="2024/25"/>
    <n v="51.658799999999999"/>
    <n v="44.946800000000003"/>
    <n v="58.311399999999999"/>
    <n v="41.188200000000002"/>
    <n v="61.985700000000001"/>
    <n v="109"/>
    <n v="211"/>
  </r>
  <r>
    <n v="90632"/>
    <s v="B02a - School readiness: percentage of children with free school meal status achieving a good level of development at the end of Reception"/>
    <x v="67"/>
    <s v="Upper tier local authorities (post 4/23)"/>
    <s v="Persons"/>
    <s v="5 yrs"/>
    <s v="2024/25"/>
    <n v="51.542900000000003"/>
    <n v="48.231999999999999"/>
    <n v="54.840200000000003"/>
    <n v="46.333500000000001"/>
    <n v="56.718899999999998"/>
    <n v="451"/>
    <n v="875"/>
  </r>
  <r>
    <n v="90632"/>
    <s v="B02a - School readiness: percentage of children with free school meal status achieving a good level of development at the end of Reception"/>
    <x v="68"/>
    <s v="Upper tier local authorities (post 4/23)"/>
    <s v="Persons"/>
    <s v="5 yrs"/>
    <s v="2024/25"/>
    <n v="51.5152"/>
    <n v="45.508200000000002"/>
    <n v="57.478700000000003"/>
    <n v="42.124299999999998"/>
    <n v="60.800199999999997"/>
    <n v="136"/>
    <n v="264"/>
  </r>
  <r>
    <n v="90632"/>
    <s v="B02a - School readiness: percentage of children with free school meal status achieving a good level of development at the end of Reception"/>
    <x v="69"/>
    <s v="Upper tier local authorities (post 4/23)"/>
    <s v="Persons"/>
    <s v="5 yrs"/>
    <s v="2024/25"/>
    <n v="51.502099999999999"/>
    <n v="47.799100000000003"/>
    <n v="55.188800000000001"/>
    <n v="45.6798"/>
    <n v="57.283999999999999"/>
    <n v="360"/>
    <n v="699"/>
  </r>
  <r>
    <n v="90632"/>
    <s v="B02a - School readiness: percentage of children with free school meal status achieving a good level of development at the end of Reception"/>
    <x v="70"/>
    <s v="Upper tier local authorities (post 4/23)"/>
    <s v="Persons"/>
    <s v="5 yrs"/>
    <s v="2024/25"/>
    <n v="51.026400000000002"/>
    <n v="45.738799999999998"/>
    <n v="56.2911"/>
    <n v="42.747599999999998"/>
    <n v="59.249299999999998"/>
    <n v="174"/>
    <n v="341"/>
  </r>
  <r>
    <n v="90632"/>
    <s v="B02a - School readiness: percentage of children with free school meal status achieving a good level of development at the end of Reception"/>
    <x v="71"/>
    <s v="Upper tier local authorities (post 4/23)"/>
    <s v="Persons"/>
    <s v="5 yrs"/>
    <s v="2024/25"/>
    <n v="51.007899999999999"/>
    <n v="48.108800000000002"/>
    <n v="53.900199999999998"/>
    <n v="46.4452"/>
    <n v="55.553800000000003"/>
    <n v="582"/>
    <n v="1141"/>
  </r>
  <r>
    <n v="90632"/>
    <s v="B02a - School readiness: percentage of children with free school meal status achieving a good level of development at the end of Reception"/>
    <x v="72"/>
    <s v="Upper tier local authorities (post 4/23)"/>
    <s v="Persons"/>
    <s v="5 yrs"/>
    <s v="2024/25"/>
    <n v="50.915799999999997"/>
    <n v="45.014200000000002"/>
    <n v="56.791899999999998"/>
    <n v="41.694200000000002"/>
    <n v="60.075400000000002"/>
    <n v="139"/>
    <n v="273"/>
  </r>
  <r>
    <n v="90632"/>
    <s v="B02a - School readiness: percentage of children with free school meal status achieving a good level of development at the end of Reception"/>
    <x v="73"/>
    <s v="Upper tier local authorities (post 4/23)"/>
    <s v="Persons"/>
    <s v="5 yrs"/>
    <s v="2024/25"/>
    <n v="50.749499999999998"/>
    <n v="46.227600000000002"/>
    <n v="55.259099999999997"/>
    <n v="43.657299999999999"/>
    <n v="57.811599999999999"/>
    <n v="237"/>
    <n v="467"/>
  </r>
  <r>
    <n v="90632"/>
    <s v="B02a - School readiness: percentage of children with free school meal status achieving a good level of development at the end of Reception"/>
    <x v="74"/>
    <s v="Upper tier local authorities (post 4/23)"/>
    <s v="Persons"/>
    <s v="5 yrs"/>
    <s v="2024/25"/>
    <n v="50.697699999999998"/>
    <n v="44.061599999999999"/>
    <n v="57.3093"/>
    <n v="40.357900000000001"/>
    <n v="60.978099999999998"/>
    <n v="109"/>
    <n v="215"/>
  </r>
  <r>
    <n v="90632"/>
    <s v="B02a - School readiness: percentage of children with free school meal status achieving a good level of development at the end of Reception"/>
    <x v="75"/>
    <s v="Upper tier local authorities (post 4/23)"/>
    <s v="Persons"/>
    <s v="5 yrs"/>
    <s v="2024/25"/>
    <n v="50.670099999999998"/>
    <n v="48.92"/>
    <n v="52.418500000000002"/>
    <n v="47.912500000000001"/>
    <n v="53.4236"/>
    <n v="1588"/>
    <n v="3134"/>
  </r>
  <r>
    <n v="90632"/>
    <s v="B02a - School readiness: percentage of children with free school meal status achieving a good level of development at the end of Reception"/>
    <x v="76"/>
    <s v="Upper tier local authorities (post 4/23)"/>
    <s v="Persons"/>
    <s v="5 yrs"/>
    <s v="2024/25"/>
    <n v="50.566899999999997"/>
    <n v="45.915900000000001"/>
    <n v="55.208100000000002"/>
    <n v="43.276000000000003"/>
    <n v="57.8337"/>
    <n v="223"/>
    <n v="441"/>
  </r>
  <r>
    <n v="90632"/>
    <s v="B02a - School readiness: percentage of children with free school meal status achieving a good level of development at the end of Reception"/>
    <x v="77"/>
    <s v="Upper tier local authorities (post 4/23)"/>
    <s v="Persons"/>
    <s v="5 yrs"/>
    <s v="2024/25"/>
    <n v="50.540500000000002"/>
    <n v="46.944800000000001"/>
    <n v="54.130699999999997"/>
    <n v="44.890300000000003"/>
    <n v="56.177"/>
    <n v="374"/>
    <n v="740"/>
  </r>
  <r>
    <n v="90632"/>
    <s v="B02a - School readiness: percentage of children with free school meal status achieving a good level of development at the end of Reception"/>
    <x v="78"/>
    <s v="Upper tier local authorities (post 4/23)"/>
    <s v="Persons"/>
    <s v="5 yrs"/>
    <s v="2024/25"/>
    <n v="50.488999999999997"/>
    <n v="47.0685"/>
    <n v="53.905000000000001"/>
    <n v="45.112499999999997"/>
    <n v="55.854199999999999"/>
    <n v="413"/>
    <n v="818"/>
  </r>
  <r>
    <n v="90632"/>
    <s v="B02a - School readiness: percentage of children with free school meal status achieving a good level of development at the end of Reception"/>
    <x v="79"/>
    <s v="Upper tier local authorities (post 4/23)"/>
    <s v="Persons"/>
    <s v="5 yrs"/>
    <s v="2024/25"/>
    <n v="50.470199999999998"/>
    <n v="45.010800000000003"/>
    <n v="55.918500000000002"/>
    <n v="41.932600000000001"/>
    <n v="58.980499999999999"/>
    <n v="161"/>
    <n v="319"/>
  </r>
  <r>
    <n v="90632"/>
    <s v="B02a - School readiness: percentage of children with free school meal status achieving a good level of development at the end of Reception"/>
    <x v="80"/>
    <s v="Upper tier local authorities (post 4/23)"/>
    <s v="Persons"/>
    <s v="5 yrs"/>
    <s v="2024/25"/>
    <n v="50.416699999999999"/>
    <n v="44.134599999999999"/>
    <n v="56.685600000000001"/>
    <n v="40.620100000000001"/>
    <n v="60.181399999999996"/>
    <n v="121"/>
    <n v="240"/>
  </r>
  <r>
    <n v="90632"/>
    <s v="B02a - School readiness: percentage of children with free school meal status achieving a good level of development at the end of Reception"/>
    <x v="81"/>
    <s v="Upper tier local authorities (post 4/23)"/>
    <s v="Persons"/>
    <s v="5 yrs"/>
    <s v="2024/25"/>
    <n v="50.355699999999999"/>
    <n v="47.6036"/>
    <n v="53.105699999999999"/>
    <n v="46.025199999999998"/>
    <n v="54.680900000000001"/>
    <n v="637"/>
    <n v="1265"/>
  </r>
  <r>
    <n v="90632"/>
    <s v="B02a - School readiness: percentage of children with free school meal status achieving a good level of development at the end of Reception"/>
    <x v="82"/>
    <s v="Upper tier local authorities (post 4/23)"/>
    <s v="Persons"/>
    <s v="5 yrs"/>
    <s v="2024/25"/>
    <n v="50.351500000000001"/>
    <n v="47.450299999999999"/>
    <n v="53.250399999999999"/>
    <n v="45.787500000000001"/>
    <n v="54.909599999999998"/>
    <n v="573"/>
    <n v="1138"/>
  </r>
  <r>
    <n v="90632"/>
    <s v="B02a - School readiness: percentage of children with free school meal status achieving a good level of development at the end of Reception"/>
    <x v="83"/>
    <s v="Upper tier local authorities (post 4/23)"/>
    <s v="Persons"/>
    <s v="5 yrs"/>
    <s v="2024/25"/>
    <n v="50.330300000000001"/>
    <n v="48.275100000000002"/>
    <n v="52.384300000000003"/>
    <n v="47.093400000000003"/>
    <n v="53.564300000000003"/>
    <n v="1143"/>
    <n v="2271"/>
  </r>
  <r>
    <n v="90632"/>
    <s v="B02a - School readiness: percentage of children with free school meal status achieving a good level of development at the end of Reception"/>
    <x v="84"/>
    <s v="Upper tier local authorities (post 4/23)"/>
    <s v="Persons"/>
    <s v="5 yrs"/>
    <s v="2024/25"/>
    <n v="50.240299999999998"/>
    <n v="47.977699999999999"/>
    <n v="52.501800000000003"/>
    <n v="46.677900000000001"/>
    <n v="53.8001"/>
    <n v="941"/>
    <n v="1873"/>
  </r>
  <r>
    <n v="90632"/>
    <s v="B02a - School readiness: percentage of children with free school meal status achieving a good level of development at the end of Reception"/>
    <x v="85"/>
    <s v="Upper tier local authorities (post 4/23)"/>
    <s v="Persons"/>
    <s v="5 yrs"/>
    <s v="2024/25"/>
    <n v="50.059899999999999"/>
    <n v="46.676000000000002"/>
    <n v="53.443199999999997"/>
    <n v="44.742400000000004"/>
    <n v="55.375999999999998"/>
    <n v="418"/>
    <n v="835"/>
  </r>
  <r>
    <n v="90632"/>
    <s v="B02a - School readiness: percentage of children with free school meal status achieving a good level of development at the end of Reception"/>
    <x v="86"/>
    <s v="Upper tier local authorities (post 4/23)"/>
    <s v="Persons"/>
    <s v="5 yrs"/>
    <s v="2024/25"/>
    <n v="50"/>
    <n v="47.39"/>
    <n v="52.61"/>
    <n v="45.8932"/>
    <n v="54.1068"/>
    <n v="703"/>
    <n v="1406"/>
  </r>
  <r>
    <n v="90632"/>
    <s v="B02a - School readiness: percentage of children with free school meal status achieving a good level of development at the end of Reception"/>
    <x v="87"/>
    <s v="Upper tier local authorities (post 4/23)"/>
    <s v="Persons"/>
    <s v="5 yrs"/>
    <s v="2024/25"/>
    <n v="49.710999999999999"/>
    <n v="42.348100000000002"/>
    <n v="57.086399999999998"/>
    <n v="38.290399999999998"/>
    <n v="61.161799999999999"/>
    <n v="86"/>
    <n v="173"/>
  </r>
  <r>
    <n v="90632"/>
    <s v="B02a - School readiness: percentage of children with free school meal status achieving a good level of development at the end of Reception"/>
    <x v="88"/>
    <s v="Upper tier local authorities (post 4/23)"/>
    <s v="Persons"/>
    <s v="5 yrs"/>
    <s v="2024/25"/>
    <n v="49.693300000000001"/>
    <n v="44.301000000000002"/>
    <n v="55.092599999999997"/>
    <n v="41.267200000000003"/>
    <n v="58.136800000000001"/>
    <n v="162"/>
    <n v="326"/>
  </r>
  <r>
    <n v="90632"/>
    <s v="B02a - School readiness: percentage of children with free school meal status achieving a good level of development at the end of Reception"/>
    <x v="89"/>
    <s v="Upper tier local authorities (post 4/23)"/>
    <s v="Persons"/>
    <s v="5 yrs"/>
    <s v="2024/25"/>
    <n v="49.520800000000001"/>
    <n v="44.021299999999997"/>
    <n v="55.031799999999997"/>
    <n v="40.932099999999998"/>
    <n v="58.137799999999999"/>
    <n v="155"/>
    <n v="313"/>
  </r>
  <r>
    <n v="90632"/>
    <s v="B02a - School readiness: percentage of children with free school meal status achieving a good level of development at the end of Reception"/>
    <x v="90"/>
    <s v="Upper tier local authorities (post 4/23)"/>
    <s v="Persons"/>
    <s v="5 yrs"/>
    <s v="2024/25"/>
    <n v="49.273400000000002"/>
    <n v="45.724699999999999"/>
    <n v="52.829500000000003"/>
    <n v="43.702399999999997"/>
    <n v="54.8626"/>
    <n v="373"/>
    <n v="757"/>
  </r>
  <r>
    <n v="90632"/>
    <s v="B02a - School readiness: percentage of children with free school meal status achieving a good level of development at the end of Reception"/>
    <x v="91"/>
    <s v="Upper tier local authorities (post 4/23)"/>
    <s v="Persons"/>
    <s v="5 yrs"/>
    <s v="2024/25"/>
    <n v="49.005200000000002"/>
    <n v="45.845100000000002"/>
    <n v="52.173400000000001"/>
    <n v="44.040999999999997"/>
    <n v="53.989199999999997"/>
    <n v="468"/>
    <n v="955"/>
  </r>
  <r>
    <n v="90632"/>
    <s v="B02a - School readiness: percentage of children with free school meal status achieving a good level of development at the end of Reception"/>
    <x v="92"/>
    <s v="Upper tier local authorities (post 4/23)"/>
    <s v="Persons"/>
    <s v="5 yrs"/>
    <s v="2024/25"/>
    <n v="48.7654"/>
    <n v="44.935499999999998"/>
    <n v="52.609900000000003"/>
    <n v="42.759599999999999"/>
    <n v="54.807099999999998"/>
    <n v="316"/>
    <n v="648"/>
  </r>
  <r>
    <n v="90632"/>
    <s v="B02a - School readiness: percentage of children with free school meal status achieving a good level of development at the end of Reception"/>
    <x v="93"/>
    <s v="Upper tier local authorities (post 4/23)"/>
    <s v="Persons"/>
    <s v="5 yrs"/>
    <s v="2024/25"/>
    <n v="48.7395"/>
    <n v="42.459899999999998"/>
    <n v="55.059199999999997"/>
    <n v="38.970700000000001"/>
    <n v="58.605499999999999"/>
    <n v="116"/>
    <n v="238"/>
  </r>
  <r>
    <n v="90632"/>
    <s v="B02a - School readiness: percentage of children with free school meal status achieving a good level of development at the end of Reception"/>
    <x v="94"/>
    <s v="Upper tier local authorities (post 4/23)"/>
    <s v="Persons"/>
    <s v="5 yrs"/>
    <s v="2024/25"/>
    <n v="48.736499999999999"/>
    <n v="42.907899999999998"/>
    <n v="54.599600000000002"/>
    <n v="39.653700000000001"/>
    <n v="57.903500000000001"/>
    <n v="135"/>
    <n v="277"/>
  </r>
  <r>
    <n v="90632"/>
    <s v="B02a - School readiness: percentage of children with free school meal status achieving a good level of development at the end of Reception"/>
    <x v="95"/>
    <s v="Upper tier local authorities (post 4/23)"/>
    <s v="Persons"/>
    <s v="5 yrs"/>
    <s v="2024/25"/>
    <n v="48.601399999999998"/>
    <n v="42.865900000000003"/>
    <n v="54.373899999999999"/>
    <n v="39.662300000000002"/>
    <n v="57.630800000000001"/>
    <n v="139"/>
    <n v="286"/>
  </r>
  <r>
    <n v="90632"/>
    <s v="B02a - School readiness: percentage of children with free school meal status achieving a good level of development at the end of Reception"/>
    <x v="96"/>
    <s v="Upper tier local authorities (post 4/23)"/>
    <s v="Persons"/>
    <s v="5 yrs"/>
    <s v="2024/25"/>
    <n v="48.581600000000002"/>
    <n v="42.806600000000003"/>
    <n v="54.3947"/>
    <n v="39.582500000000003"/>
    <n v="57.6736"/>
    <n v="137"/>
    <n v="282"/>
  </r>
  <r>
    <n v="90632"/>
    <s v="B02a - School readiness: percentage of children with free school meal status achieving a good level of development at the end of Reception"/>
    <x v="97"/>
    <s v="Upper tier local authorities (post 4/23)"/>
    <s v="Persons"/>
    <s v="5 yrs"/>
    <s v="2024/25"/>
    <n v="48.4848"/>
    <n v="43.790100000000002"/>
    <n v="53.206499999999998"/>
    <n v="41.142899999999997"/>
    <n v="55.892800000000001"/>
    <n v="208"/>
    <n v="429"/>
  </r>
  <r>
    <n v="90632"/>
    <s v="B02a - School readiness: percentage of children with free school meal status achieving a good level of development at the end of Reception"/>
    <x v="98"/>
    <s v="Upper tier local authorities (post 4/23)"/>
    <s v="Persons"/>
    <s v="5 yrs"/>
    <s v="2024/25"/>
    <n v="48.441600000000001"/>
    <n v="44.928199999999997"/>
    <n v="51.970399999999998"/>
    <n v="42.929299999999998"/>
    <n v="53.991999999999997"/>
    <n v="373"/>
    <n v="770"/>
  </r>
  <r>
    <n v="90632"/>
    <s v="B02a - School readiness: percentage of children with free school meal status achieving a good level of development at the end of Reception"/>
    <x v="99"/>
    <s v="Upper tier local authorities (post 4/23)"/>
    <s v="Persons"/>
    <s v="5 yrs"/>
    <s v="2024/25"/>
    <n v="48.333300000000001"/>
    <n v="44.701700000000002"/>
    <n v="51.982599999999998"/>
    <n v="42.637799999999999"/>
    <n v="54.072499999999998"/>
    <n v="348"/>
    <n v="720"/>
  </r>
  <r>
    <n v="90632"/>
    <s v="B02a - School readiness: percentage of children with free school meal status achieving a good level of development at the end of Reception"/>
    <x v="100"/>
    <s v="Upper tier local authorities (post 4/23)"/>
    <s v="Persons"/>
    <s v="5 yrs"/>
    <s v="2024/25"/>
    <n v="48.191000000000003"/>
    <n v="44.485700000000001"/>
    <n v="51.9163"/>
    <n v="42.381799999999998"/>
    <n v="54.049599999999998"/>
    <n v="333"/>
    <n v="691"/>
  </r>
  <r>
    <n v="90632"/>
    <s v="B02a - School readiness: percentage of children with free school meal status achieving a good level of development at the end of Reception"/>
    <x v="101"/>
    <s v="Upper tier local authorities (post 4/23)"/>
    <s v="Persons"/>
    <s v="5 yrs"/>
    <s v="2024/25"/>
    <n v="47.9452"/>
    <n v="43.645200000000003"/>
    <n v="52.2759"/>
    <n v="41.216299999999997"/>
    <n v="54.749499999999998"/>
    <n v="245"/>
    <n v="511"/>
  </r>
  <r>
    <n v="90632"/>
    <s v="B02a - School readiness: percentage of children with free school meal status achieving a good level of development at the end of Reception"/>
    <x v="102"/>
    <s v="Upper tier local authorities (post 4/23)"/>
    <s v="Persons"/>
    <s v="5 yrs"/>
    <s v="2024/25"/>
    <n v="47.858499999999999"/>
    <n v="43.663600000000002"/>
    <n v="52.0837"/>
    <n v="41.292700000000004"/>
    <n v="54.499099999999999"/>
    <n v="257"/>
    <n v="537"/>
  </r>
  <r>
    <n v="90632"/>
    <s v="B02a - School readiness: percentage of children with free school meal status achieving a good level of development at the end of Reception"/>
    <x v="103"/>
    <s v="Upper tier local authorities (post 4/23)"/>
    <s v="Persons"/>
    <s v="5 yrs"/>
    <s v="2024/25"/>
    <n v="47.478299999999997"/>
    <n v="43.426900000000003"/>
    <n v="51.563099999999999"/>
    <n v="41.136699999999998"/>
    <n v="53.902200000000001"/>
    <n v="273"/>
    <n v="575"/>
  </r>
  <r>
    <n v="90632"/>
    <s v="B02a - School readiness: percentage of children with free school meal status achieving a good level of development at the end of Reception"/>
    <x v="104"/>
    <s v="Upper tier local authorities (post 4/23)"/>
    <s v="Persons"/>
    <s v="5 yrs"/>
    <s v="2024/25"/>
    <n v="47.452199999999998"/>
    <n v="41.993200000000002"/>
    <n v="52.972799999999999"/>
    <n v="38.948300000000003"/>
    <n v="56.106499999999997"/>
    <n v="149"/>
    <n v="314"/>
  </r>
  <r>
    <n v="90632"/>
    <s v="B02a - School readiness: percentage of children with free school meal status achieving a good level of development at the end of Reception"/>
    <x v="105"/>
    <s v="Upper tier local authorities (post 4/23)"/>
    <s v="Persons"/>
    <s v="5 yrs"/>
    <s v="2024/25"/>
    <n v="47.344099999999997"/>
    <n v="42.685299999999998"/>
    <n v="52.049599999999998"/>
    <n v="40.066800000000001"/>
    <n v="54.7361"/>
    <n v="205"/>
    <n v="433"/>
  </r>
  <r>
    <n v="90632"/>
    <s v="B02a - School readiness: percentage of children with free school meal status achieving a good level of development at the end of Reception"/>
    <x v="106"/>
    <s v="Upper tier local authorities (post 4/23)"/>
    <s v="Persons"/>
    <s v="5 yrs"/>
    <s v="2024/25"/>
    <n v="47.117800000000003"/>
    <n v="42.270699999999998"/>
    <n v="52.019799999999996"/>
    <n v="39.5533"/>
    <n v="54.817100000000003"/>
    <n v="188"/>
    <n v="399"/>
  </r>
  <r>
    <n v="90632"/>
    <s v="B02a - School readiness: percentage of children with free school meal status achieving a good level of development at the end of Reception"/>
    <x v="107"/>
    <s v="Upper tier local authorities (post 4/23)"/>
    <s v="Persons"/>
    <s v="5 yrs"/>
    <s v="2024/25"/>
    <n v="47.096800000000002"/>
    <n v="44.736600000000003"/>
    <n v="49.47"/>
    <n v="43.387700000000002"/>
    <n v="50.838200000000001"/>
    <n v="803"/>
    <n v="1705"/>
  </r>
  <r>
    <n v="90632"/>
    <s v="B02a - School readiness: percentage of children with free school meal status achieving a good level of development at the end of Reception"/>
    <x v="108"/>
    <s v="Upper tier local authorities (post 4/23)"/>
    <s v="Persons"/>
    <s v="5 yrs"/>
    <s v="2024/25"/>
    <n v="47.049900000000001"/>
    <n v="43.2729"/>
    <n v="50.860999999999997"/>
    <n v="41.135300000000001"/>
    <n v="53.048499999999997"/>
    <n v="311"/>
    <n v="661"/>
  </r>
  <r>
    <n v="90632"/>
    <s v="B02a - School readiness: percentage of children with free school meal status achieving a good level of development at the end of Reception"/>
    <x v="109"/>
    <s v="Upper tier local authorities (post 4/23)"/>
    <s v="Persons"/>
    <s v="5 yrs"/>
    <s v="2024/25"/>
    <n v="46.955100000000002"/>
    <n v="43.069899999999997"/>
    <n v="50.877600000000001"/>
    <n v="40.873600000000003"/>
    <n v="53.128399999999999"/>
    <n v="293"/>
    <n v="624"/>
  </r>
  <r>
    <n v="90632"/>
    <s v="B02a - School readiness: percentage of children with free school meal status achieving a good level of development at the end of Reception"/>
    <x v="110"/>
    <s v="Upper tier local authorities (post 4/23)"/>
    <s v="Persons"/>
    <s v="5 yrs"/>
    <s v="2024/25"/>
    <n v="46.954799999999999"/>
    <n v="42.658200000000001"/>
    <n v="51.296999999999997"/>
    <n v="40.238"/>
    <n v="53.783799999999999"/>
    <n v="239"/>
    <n v="509"/>
  </r>
  <r>
    <n v="90632"/>
    <s v="B02a - School readiness: percentage of children with free school meal status achieving a good level of development at the end of Reception"/>
    <x v="111"/>
    <s v="Upper tier local authorities (post 4/23)"/>
    <s v="Persons"/>
    <s v="5 yrs"/>
    <s v="2024/25"/>
    <n v="46.827300000000001"/>
    <n v="44.069499999999998"/>
    <n v="49.604599999999998"/>
    <n v="42.497900000000001"/>
    <n v="51.205100000000002"/>
    <n v="583"/>
    <n v="1245"/>
  </r>
  <r>
    <n v="90632"/>
    <s v="B02a - School readiness: percentage of children with free school meal status achieving a good level of development at the end of Reception"/>
    <x v="112"/>
    <s v="Upper tier local authorities (post 4/23)"/>
    <s v="Persons"/>
    <s v="5 yrs"/>
    <s v="2024/25"/>
    <n v="46.731400000000001"/>
    <n v="43.840899999999998"/>
    <n v="49.644100000000002"/>
    <n v="42.195399999999999"/>
    <n v="51.322200000000002"/>
    <n v="529"/>
    <n v="1132"/>
  </r>
  <r>
    <n v="90632"/>
    <s v="B02a - School readiness: percentage of children with free school meal status achieving a good level of development at the end of Reception"/>
    <x v="113"/>
    <s v="Upper tier local authorities (post 4/23)"/>
    <s v="Persons"/>
    <s v="5 yrs"/>
    <s v="2024/25"/>
    <n v="46.666699999999999"/>
    <n v="40.4572"/>
    <n v="52.981200000000001"/>
    <n v="37.034199999999998"/>
    <n v="56.554299999999998"/>
    <n v="112"/>
    <n v="240"/>
  </r>
  <r>
    <n v="90632"/>
    <s v="B02a - School readiness: percentage of children with free school meal status achieving a good level of development at the end of Reception"/>
    <x v="114"/>
    <s v="Upper tier local authorities (post 4/23)"/>
    <s v="Persons"/>
    <s v="5 yrs"/>
    <s v="2024/25"/>
    <n v="46.5261"/>
    <n v="44.1023"/>
    <n v="48.9664"/>
    <n v="42.718699999999998"/>
    <n v="50.374299999999998"/>
    <n v="750"/>
    <n v="1612"/>
  </r>
  <r>
    <n v="90632"/>
    <s v="B02a - School readiness: percentage of children with free school meal status achieving a good level of development at the end of Reception"/>
    <x v="115"/>
    <s v="Upper tier local authorities (post 4/23)"/>
    <s v="Persons"/>
    <s v="5 yrs"/>
    <s v="2024/25"/>
    <n v="46.376800000000003"/>
    <n v="41.975499999999997"/>
    <n v="50.835299999999997"/>
    <n v="39.503"/>
    <n v="53.391100000000002"/>
    <n v="224"/>
    <n v="483"/>
  </r>
  <r>
    <n v="90632"/>
    <s v="B02a - School readiness: percentage of children with free school meal status achieving a good level of development at the end of Reception"/>
    <x v="116"/>
    <s v="Upper tier local authorities (post 4/23)"/>
    <s v="Persons"/>
    <s v="5 yrs"/>
    <s v="2024/25"/>
    <n v="46.311500000000002"/>
    <n v="43.203699999999998"/>
    <n v="49.448099999999997"/>
    <n v="41.438699999999997"/>
    <n v="51.255699999999997"/>
    <n v="452"/>
    <n v="976"/>
  </r>
  <r>
    <n v="90632"/>
    <s v="B02a - School readiness: percentage of children with free school meal status achieving a good level of development at the end of Reception"/>
    <x v="117"/>
    <s v="Upper tier local authorities (post 4/23)"/>
    <s v="Persons"/>
    <s v="5 yrs"/>
    <s v="2024/25"/>
    <n v="46.218499999999999"/>
    <n v="41.114400000000003"/>
    <n v="51.403100000000002"/>
    <n v="38.269100000000002"/>
    <n v="54.364899999999999"/>
    <n v="165"/>
    <n v="357"/>
  </r>
  <r>
    <n v="90632"/>
    <s v="B02a - School readiness: percentage of children with free school meal status achieving a good level of development at the end of Reception"/>
    <x v="118"/>
    <s v="Upper tier local authorities (post 4/23)"/>
    <s v="Persons"/>
    <s v="5 yrs"/>
    <s v="2024/25"/>
    <n v="46.134300000000003"/>
    <n v="42.683100000000003"/>
    <n v="49.623100000000001"/>
    <n v="40.728999999999999"/>
    <n v="51.632199999999997"/>
    <n v="364"/>
    <n v="789"/>
  </r>
  <r>
    <n v="90632"/>
    <s v="B02a - School readiness: percentage of children with free school meal status achieving a good level of development at the end of Reception"/>
    <x v="119"/>
    <s v="Upper tier local authorities (post 4/23)"/>
    <s v="Persons"/>
    <s v="5 yrs"/>
    <s v="2024/25"/>
    <n v="46.045699999999997"/>
    <n v="43.167900000000003"/>
    <n v="48.950099999999999"/>
    <n v="41.531599999999997"/>
    <n v="50.625599999999999"/>
    <n v="524"/>
    <n v="1138"/>
  </r>
  <r>
    <n v="90632"/>
    <s v="B02a - School readiness: percentage of children with free school meal status achieving a good level of development at the end of Reception"/>
    <x v="120"/>
    <s v="Upper tier local authorities (post 4/23)"/>
    <s v="Persons"/>
    <s v="5 yrs"/>
    <s v="2024/25"/>
    <n v="46.010800000000003"/>
    <n v="43.307899999999997"/>
    <n v="48.737400000000001"/>
    <n v="41.769199999999998"/>
    <n v="50.311100000000003"/>
    <n v="594"/>
    <n v="1291"/>
  </r>
  <r>
    <n v="90632"/>
    <s v="B02a - School readiness: percentage of children with free school meal status achieving a good level of development at the end of Reception"/>
    <x v="121"/>
    <s v="Upper tier local authorities (post 4/23)"/>
    <s v="Persons"/>
    <s v="5 yrs"/>
    <s v="2024/25"/>
    <n v="46.006900000000002"/>
    <n v="43.146900000000002"/>
    <n v="48.893500000000003"/>
    <n v="41.520499999999998"/>
    <n v="50.558999999999997"/>
    <n v="530"/>
    <n v="1152"/>
  </r>
  <r>
    <n v="90632"/>
    <s v="B02a - School readiness: percentage of children with free school meal status achieving a good level of development at the end of Reception"/>
    <x v="122"/>
    <s v="Upper tier local authorities (post 4/23)"/>
    <s v="Persons"/>
    <s v="5 yrs"/>
    <s v="2024/25"/>
    <n v="46.005499999999998"/>
    <n v="43.921199999999999"/>
    <n v="48.103900000000003"/>
    <n v="42.729900000000001"/>
    <n v="49.316000000000003"/>
    <n v="1002"/>
    <n v="2178"/>
  </r>
  <r>
    <n v="90632"/>
    <s v="B02a - School readiness: percentage of children with free school meal status achieving a good level of development at the end of Reception"/>
    <x v="123"/>
    <s v="Upper tier local authorities (post 4/23)"/>
    <s v="Persons"/>
    <s v="5 yrs"/>
    <s v="2024/25"/>
    <n v="45.826900000000002"/>
    <n v="43.128500000000003"/>
    <n v="48.55"/>
    <n v="41.592700000000001"/>
    <n v="50.122199999999999"/>
    <n v="593"/>
    <n v="1294"/>
  </r>
  <r>
    <n v="90632"/>
    <s v="B02a - School readiness: percentage of children with free school meal status achieving a good level of development at the end of Reception"/>
    <x v="124"/>
    <s v="Upper tier local authorities (post 4/23)"/>
    <s v="Persons"/>
    <s v="5 yrs"/>
    <s v="2024/25"/>
    <n v="45.824800000000003"/>
    <n v="41.467100000000002"/>
    <n v="50.247399999999999"/>
    <n v="39.021999999999998"/>
    <n v="52.786999999999999"/>
    <n v="225"/>
    <n v="491"/>
  </r>
  <r>
    <n v="90632"/>
    <s v="B02a - School readiness: percentage of children with free school meal status achieving a good level of development at the end of Reception"/>
    <x v="125"/>
    <s v="Upper tier local authorities (post 4/23)"/>
    <s v="Persons"/>
    <s v="5 yrs"/>
    <s v="2024/25"/>
    <n v="45.821300000000001"/>
    <n v="40.653199999999998"/>
    <n v="51.0809"/>
    <n v="37.778300000000002"/>
    <n v="54.088200000000001"/>
    <n v="159"/>
    <n v="347"/>
  </r>
  <r>
    <n v="90632"/>
    <s v="B02a - School readiness: percentage of children with free school meal status achieving a good level of development at the end of Reception"/>
    <x v="126"/>
    <s v="Upper tier local authorities (post 4/23)"/>
    <s v="Persons"/>
    <s v="5 yrs"/>
    <s v="2024/25"/>
    <n v="45.537100000000002"/>
    <n v="41.777299999999997"/>
    <n v="49.348399999999998"/>
    <n v="39.657200000000003"/>
    <n v="51.543999999999997"/>
    <n v="301"/>
    <n v="661"/>
  </r>
  <r>
    <n v="90632"/>
    <s v="B02a - School readiness: percentage of children with free school meal status achieving a good level of development at the end of Reception"/>
    <x v="127"/>
    <s v="Upper tier local authorities (post 4/23)"/>
    <s v="Persons"/>
    <s v="5 yrs"/>
    <s v="2024/25"/>
    <n v="45.382599999999996"/>
    <n v="40.441600000000001"/>
    <n v="50.416200000000003"/>
    <n v="37.690199999999997"/>
    <n v="53.302"/>
    <n v="172"/>
    <n v="379"/>
  </r>
  <r>
    <n v="90632"/>
    <s v="B02a - School readiness: percentage of children with free school meal status achieving a good level of development at the end of Reception"/>
    <x v="128"/>
    <s v="Upper tier local authorities (post 4/23)"/>
    <s v="Persons"/>
    <s v="5 yrs"/>
    <s v="2024/25"/>
    <n v="45.238100000000003"/>
    <n v="40.293500000000002"/>
    <n v="50.278500000000001"/>
    <n v="37.541499999999999"/>
    <n v="53.1693"/>
    <n v="171"/>
    <n v="378"/>
  </r>
  <r>
    <n v="90632"/>
    <s v="B02a - School readiness: percentage of children with free school meal status achieving a good level of development at the end of Reception"/>
    <x v="129"/>
    <s v="Upper tier local authorities (post 4/23)"/>
    <s v="Persons"/>
    <s v="5 yrs"/>
    <s v="2024/25"/>
    <n v="45.082000000000001"/>
    <n v="40.061700000000002"/>
    <n v="50.2044"/>
    <n v="37.271599999999999"/>
    <n v="53.142499999999998"/>
    <n v="165"/>
    <n v="366"/>
  </r>
  <r>
    <n v="90632"/>
    <s v="B02a - School readiness: percentage of children with free school meal status achieving a good level of development at the end of Reception"/>
    <x v="130"/>
    <s v="Upper tier local authorities (post 4/23)"/>
    <s v="Persons"/>
    <s v="5 yrs"/>
    <s v="2024/25"/>
    <n v="45.069000000000003"/>
    <n v="42.030900000000003"/>
    <n v="48.144399999999997"/>
    <n v="40.308799999999998"/>
    <n v="49.921300000000002"/>
    <n v="457"/>
    <n v="1014"/>
  </r>
  <r>
    <n v="90632"/>
    <s v="B02a - School readiness: percentage of children with free school meal status achieving a good level of development at the end of Reception"/>
    <x v="131"/>
    <s v="Upper tier local authorities (post 4/23)"/>
    <s v="Persons"/>
    <s v="5 yrs"/>
    <s v="2024/25"/>
    <n v="45.045000000000002"/>
    <n v="40.479300000000002"/>
    <n v="49.695700000000002"/>
    <n v="37.929099999999998"/>
    <n v="52.369599999999998"/>
    <n v="200"/>
    <n v="444"/>
  </r>
  <r>
    <n v="90632"/>
    <s v="B02a - School readiness: percentage of children with free school meal status achieving a good level of development at the end of Reception"/>
    <x v="132"/>
    <s v="Upper tier local authorities (post 4/23)"/>
    <s v="Persons"/>
    <s v="5 yrs"/>
    <s v="2024/25"/>
    <n v="45.031100000000002"/>
    <n v="39.6873"/>
    <n v="50.491999999999997"/>
    <n v="36.729300000000002"/>
    <n v="53.619100000000003"/>
    <n v="145"/>
    <n v="322"/>
  </r>
  <r>
    <n v="90632"/>
    <s v="B02a - School readiness: percentage of children with free school meal status achieving a good level of development at the end of Reception"/>
    <x v="133"/>
    <s v="Upper tier local authorities (post 4/23)"/>
    <s v="Persons"/>
    <s v="5 yrs"/>
    <s v="2024/25"/>
    <n v="44.886400000000002"/>
    <n v="37.725499999999997"/>
    <n v="52.265700000000002"/>
    <n v="33.862900000000003"/>
    <n v="56.436199999999999"/>
    <n v="79"/>
    <n v="176"/>
  </r>
  <r>
    <n v="90632"/>
    <s v="B02a - School readiness: percentage of children with free school meal status achieving a good level of development at the end of Reception"/>
    <x v="134"/>
    <s v="Upper tier local authorities (post 4/23)"/>
    <s v="Persons"/>
    <s v="5 yrs"/>
    <s v="2024/25"/>
    <n v="44.748899999999999"/>
    <n v="38.310299999999998"/>
    <n v="51.368499999999997"/>
    <n v="34.801900000000003"/>
    <n v="55.134599999999999"/>
    <n v="98"/>
    <n v="219"/>
  </r>
  <r>
    <n v="90632"/>
    <s v="B02a - School readiness: percentage of children with free school meal status achieving a good level of development at the end of Reception"/>
    <x v="135"/>
    <s v="Upper tier local authorities (post 4/23)"/>
    <s v="Persons"/>
    <s v="5 yrs"/>
    <s v="2024/25"/>
    <n v="44.736800000000002"/>
    <n v="37.058999999999997"/>
    <n v="52.674199999999999"/>
    <n v="32.954999999999998"/>
    <n v="57.140900000000002"/>
    <n v="68"/>
    <n v="152"/>
  </r>
  <r>
    <n v="90632"/>
    <s v="B02a - School readiness: percentage of children with free school meal status achieving a good level of development at the end of Reception"/>
    <x v="136"/>
    <s v="Upper tier local authorities (post 4/23)"/>
    <s v="Persons"/>
    <s v="5 yrs"/>
    <s v="2024/25"/>
    <n v="44.469000000000001"/>
    <n v="39.953600000000002"/>
    <n v="49.0777"/>
    <n v="37.434600000000003"/>
    <n v="51.732300000000002"/>
    <n v="201"/>
    <n v="452"/>
  </r>
  <r>
    <n v="90632"/>
    <s v="B02a - School readiness: percentage of children with free school meal status achieving a good level of development at the end of Reception"/>
    <x v="137"/>
    <s v="Upper tier local authorities (post 4/23)"/>
    <s v="Persons"/>
    <s v="5 yrs"/>
    <s v="2024/25"/>
    <n v="44.360900000000001"/>
    <n v="40.194600000000001"/>
    <n v="48.607999999999997"/>
    <n v="37.862400000000001"/>
    <n v="51.058300000000003"/>
    <n v="236"/>
    <n v="532"/>
  </r>
  <r>
    <n v="90632"/>
    <s v="B02a - School readiness: percentage of children with free school meal status achieving a good level of development at the end of Reception"/>
    <x v="138"/>
    <s v="Upper tier local authorities (post 4/23)"/>
    <s v="Persons"/>
    <s v="5 yrs"/>
    <s v="2024/25"/>
    <n v="44.241300000000003"/>
    <n v="40.133600000000001"/>
    <n v="48.429299999999998"/>
    <n v="37.833399999999997"/>
    <n v="50.846800000000002"/>
    <n v="242"/>
    <n v="547"/>
  </r>
  <r>
    <n v="90632"/>
    <s v="B02a - School readiness: percentage of children with free school meal status achieving a good level of development at the end of Reception"/>
    <x v="139"/>
    <s v="Upper tier local authorities (post 4/23)"/>
    <s v="Persons"/>
    <s v="5 yrs"/>
    <s v="2024/25"/>
    <n v="43.852200000000003"/>
    <n v="41.279600000000002"/>
    <n v="46.458199999999998"/>
    <n v="39.819200000000002"/>
    <n v="47.968000000000004"/>
    <n v="617"/>
    <n v="1407"/>
  </r>
  <r>
    <n v="90632"/>
    <s v="B02a - School readiness: percentage of children with free school meal status achieving a good level of development at the end of Reception"/>
    <x v="140"/>
    <s v="Upper tier local authorities (post 4/23)"/>
    <s v="Persons"/>
    <s v="5 yrs"/>
    <s v="2024/25"/>
    <n v="43.703699999999998"/>
    <n v="35.625399999999999"/>
    <n v="52.130400000000002"/>
    <n v="31.363700000000001"/>
    <n v="56.875599999999999"/>
    <n v="59"/>
    <n v="135"/>
  </r>
  <r>
    <n v="90632"/>
    <s v="B02a - School readiness: percentage of children with free school meal status achieving a good level of development at the end of Reception"/>
    <x v="141"/>
    <s v="Upper tier local authorities (post 4/23)"/>
    <s v="Persons"/>
    <s v="5 yrs"/>
    <s v="2024/25"/>
    <n v="43.689300000000003"/>
    <n v="38.270000000000003"/>
    <n v="49.263599999999997"/>
    <n v="35.288499999999999"/>
    <n v="52.468499999999999"/>
    <n v="135"/>
    <n v="309"/>
  </r>
  <r>
    <n v="90632"/>
    <s v="B02a - School readiness: percentage of children with free school meal status achieving a good level of development at the end of Reception"/>
    <x v="142"/>
    <s v="Upper tier local authorities (post 4/23)"/>
    <s v="Persons"/>
    <s v="5 yrs"/>
    <s v="2024/25"/>
    <n v="43.625500000000002"/>
    <n v="40.588000000000001"/>
    <n v="46.711599999999997"/>
    <n v="38.871499999999997"/>
    <n v="48.499600000000001"/>
    <n v="438"/>
    <n v="1004"/>
  </r>
  <r>
    <n v="90632"/>
    <s v="B02a - School readiness: percentage of children with free school meal status achieving a good level of development at the end of Reception"/>
    <x v="143"/>
    <s v="Upper tier local authorities (post 4/23)"/>
    <s v="Persons"/>
    <s v="5 yrs"/>
    <s v="2024/25"/>
    <n v="43.445700000000002"/>
    <n v="37.634599999999999"/>
    <n v="49.442700000000002"/>
    <n v="34.458199999999998"/>
    <n v="52.885899999999999"/>
    <n v="116"/>
    <n v="267"/>
  </r>
  <r>
    <n v="90632"/>
    <s v="B02a - School readiness: percentage of children with free school meal status achieving a good level of development at the end of Reception"/>
    <x v="144"/>
    <s v="Upper tier local authorities (post 4/23)"/>
    <s v="Persons"/>
    <s v="5 yrs"/>
    <s v="2024/25"/>
    <n v="43.3718"/>
    <n v="39.731099999999998"/>
    <n v="47.0854"/>
    <n v="37.687199999999997"/>
    <n v="49.2363"/>
    <n v="301"/>
    <n v="694"/>
  </r>
  <r>
    <n v="90632"/>
    <s v="B02a - School readiness: percentage of children with free school meal status achieving a good level of development at the end of Reception"/>
    <x v="145"/>
    <s v="Upper tier local authorities (post 4/23)"/>
    <s v="Persons"/>
    <s v="5 yrs"/>
    <s v="2024/25"/>
    <n v="43.333300000000001"/>
    <n v="39.682899999999997"/>
    <n v="47.057600000000001"/>
    <n v="37.633899999999997"/>
    <n v="49.214799999999997"/>
    <n v="299"/>
    <n v="690"/>
  </r>
  <r>
    <n v="90632"/>
    <s v="B02a - School readiness: percentage of children with free school meal status achieving a good level of development at the end of Reception"/>
    <x v="146"/>
    <s v="Upper tier local authorities (post 4/23)"/>
    <s v="Persons"/>
    <s v="5 yrs"/>
    <s v="2024/25"/>
    <n v="43.243200000000002"/>
    <n v="32.566099999999999"/>
    <n v="54.587299999999999"/>
    <n v="27.248799999999999"/>
    <n v="60.782200000000003"/>
    <n v="32"/>
    <n v="74"/>
  </r>
  <r>
    <n v="90632"/>
    <s v="B02a - School readiness: percentage of children with free school meal status achieving a good level of development at the end of Reception"/>
    <x v="147"/>
    <s v="Upper tier local authorities (post 4/23)"/>
    <s v="Persons"/>
    <s v="5 yrs"/>
    <s v="2024/25"/>
    <n v="43.137300000000003"/>
    <n v="39.7791"/>
    <n v="46.559699999999999"/>
    <n v="37.889299999999999"/>
    <n v="48.543900000000001"/>
    <n v="352"/>
    <n v="816"/>
  </r>
  <r>
    <n v="90632"/>
    <s v="B02a - School readiness: percentage of children with free school meal status achieving a good level of development at the end of Reception"/>
    <x v="148"/>
    <s v="Upper tier local authorities (post 4/23)"/>
    <s v="Persons"/>
    <s v="5 yrs"/>
    <s v="2024/25"/>
    <n v="43.043500000000002"/>
    <n v="38.594700000000003"/>
    <n v="47.607399999999998"/>
    <n v="36.122399999999999"/>
    <n v="50.247500000000002"/>
    <n v="198"/>
    <n v="460"/>
  </r>
  <r>
    <n v="90632"/>
    <s v="B02a - School readiness: percentage of children with free school meal status achieving a good level of development at the end of Reception"/>
    <x v="149"/>
    <s v="Upper tier local authorities (post 4/23)"/>
    <s v="Persons"/>
    <s v="5 yrs"/>
    <s v="2024/25"/>
    <n v="42.637999999999998"/>
    <n v="37.386000000000003"/>
    <n v="48.061599999999999"/>
    <n v="34.501899999999999"/>
    <n v="51.193199999999997"/>
    <n v="139"/>
    <n v="326"/>
  </r>
  <r>
    <n v="90632"/>
    <s v="B02a - School readiness: percentage of children with free school meal status achieving a good level of development at the end of Reception"/>
    <x v="150"/>
    <s v="Upper tier local authorities (post 4/23)"/>
    <s v="Persons"/>
    <s v="5 yrs"/>
    <s v="2024/25"/>
    <n v="39.893599999999999"/>
    <n v="33.163699999999999"/>
    <n v="47.028199999999998"/>
    <n v="29.604800000000001"/>
    <n v="51.159500000000001"/>
    <n v="75"/>
    <n v="188"/>
  </r>
  <r>
    <n v="90632"/>
    <s v="B02a - School readiness: percentage of children with free school meal status achieving a good level of development at the end of Reception"/>
    <x v="151"/>
    <s v="Upper tier local authorities (post 4/23)"/>
    <s v="Persons"/>
    <s v="5 yrs"/>
    <s v="2024/25"/>
    <n v="38.219900000000003"/>
    <n v="31.6252"/>
    <n v="45.2791"/>
    <n v="28.162500000000001"/>
    <n v="49.3992"/>
    <n v="73"/>
    <n v="191"/>
  </r>
  <r>
    <n v="90632"/>
    <s v="B02a - School readiness: percentage of children with free school meal status achieving a good level of development at the end of Reception"/>
    <x v="152"/>
    <s v="Upper tier local authorities (post 4/23)"/>
    <s v="Persons"/>
    <s v="5 yrs"/>
    <s v="2024/25"/>
    <n v="33.333300000000001"/>
    <n v="16.2788"/>
    <n v="56.250500000000002"/>
    <n v="10.7615"/>
    <n v="67.459599999999995"/>
    <n v="6"/>
    <n v="18"/>
  </r>
  <r>
    <n v="90632"/>
    <s v="B02a - School readiness: percentage of children with free school meal status achieving a good level of development at the end of Reception"/>
    <x v="153"/>
    <s v="Upper tier local authorities (post 4/23)"/>
    <s v="Persons"/>
    <s v="5 yrs"/>
    <s v="2024/25"/>
    <m/>
    <m/>
    <m/>
    <m/>
    <m/>
    <n v="0"/>
    <n v="0"/>
  </r>
  <r>
    <m/>
    <m/>
    <x v="154"/>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62B35-F28F-4053-9907-6DFDB5B4C1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Local Authorities">
  <location ref="B36:C59" firstHeaderRow="1" firstDataRow="1" firstDataCol="1"/>
  <pivotFields count="15">
    <pivotField showAll="0"/>
    <pivotField showAll="0">
      <items count="3">
        <item x="1"/>
        <item x="0"/>
        <item t="default"/>
      </items>
    </pivotField>
    <pivotField axis="axisRow" showAll="0">
      <items count="156">
        <item h="1" x="51"/>
        <item x="137"/>
        <item h="1" x="23"/>
        <item x="142"/>
        <item h="1" x="84"/>
        <item h="1" x="134"/>
        <item x="1"/>
        <item h="1" x="4"/>
        <item h="1" x="19"/>
        <item h="1" x="12"/>
        <item h="1" x="115"/>
        <item h="1" x="145"/>
        <item h="1" x="2"/>
        <item h="1" x="77"/>
        <item h="1" x="120"/>
        <item h="1" x="67"/>
        <item h="1" x="147"/>
        <item h="1" x="138"/>
        <item h="1" x="39"/>
        <item h="1" x="29"/>
        <item h="1" x="128"/>
        <item h="1" x="97"/>
        <item x="131"/>
        <item x="123"/>
        <item x="112"/>
        <item h="1" x="151"/>
        <item h="1" x="57"/>
        <item h="1" x="35"/>
        <item h="1" x="38"/>
        <item x="96"/>
        <item h="1" x="73"/>
        <item x="44"/>
        <item h="1" x="25"/>
        <item h="1" x="76"/>
        <item h="1" x="91"/>
        <item h="1" x="17"/>
        <item h="1" x="103"/>
        <item h="1" x="24"/>
        <item h="1" x="100"/>
        <item h="1" x="83"/>
        <item h="1" x="92"/>
        <item h="1" x="108"/>
        <item x="0"/>
        <item h="1" x="116"/>
        <item h="1" x="46"/>
        <item h="1" x="111"/>
        <item h="1" x="88"/>
        <item h="1" x="58"/>
        <item h="1" x="50"/>
        <item h="1" x="124"/>
        <item h="1" x="135"/>
        <item h="1" x="95"/>
        <item h="1" x="118"/>
        <item h="1" x="28"/>
        <item h="1" x="121"/>
        <item h="1" x="66"/>
        <item h="1" x="139"/>
        <item h="1" x="110"/>
        <item h="1" x="94"/>
        <item h="1" x="47"/>
        <item h="1" x="144"/>
        <item h="1" x="69"/>
        <item h="1" x="149"/>
        <item x="105"/>
        <item h="1" x="11"/>
        <item h="1" x="148"/>
        <item h="1" x="20"/>
        <item h="1" x="45"/>
        <item h="1" x="89"/>
        <item h="1" x="42"/>
        <item h="1" x="41"/>
        <item h="1" x="8"/>
        <item h="1" x="107"/>
        <item h="1" x="102"/>
        <item h="1" x="53"/>
        <item x="21"/>
        <item h="1" x="16"/>
        <item x="6"/>
        <item h="1" x="86"/>
        <item h="1" x="132"/>
        <item h="1" x="9"/>
        <item h="1" x="104"/>
        <item h="1" x="32"/>
        <item h="1" x="49"/>
        <item h="1" x="65"/>
        <item h="1" x="18"/>
        <item h="1" x="37"/>
        <item h="1" x="74"/>
        <item h="1" x="130"/>
        <item h="1" x="71"/>
        <item h="1" x="114"/>
        <item h="1" x="59"/>
        <item x="10"/>
        <item x="68"/>
        <item h="1" x="3"/>
        <item h="1" x="141"/>
        <item h="1" x="26"/>
        <item h="1" x="62"/>
        <item h="1" x="61"/>
        <item h="1" x="113"/>
        <item h="1" x="93"/>
        <item h="1" x="34"/>
        <item h="1" x="153"/>
        <item h="1" x="15"/>
        <item h="1" x="27"/>
        <item h="1" x="133"/>
        <item x="40"/>
        <item h="1" x="5"/>
        <item h="1" x="64"/>
        <item x="22"/>
        <item h="1" x="75"/>
        <item x="70"/>
        <item h="1" x="106"/>
        <item h="1" x="87"/>
        <item h="1" x="136"/>
        <item h="1" x="33"/>
        <item x="54"/>
        <item h="1" x="85"/>
        <item h="1" x="79"/>
        <item h="1" x="55"/>
        <item h="1" x="72"/>
        <item h="1" x="101"/>
        <item x="52"/>
        <item x="7"/>
        <item x="82"/>
        <item x="36"/>
        <item h="1" x="146"/>
        <item h="1" x="140"/>
        <item h="1" x="98"/>
        <item h="1" x="30"/>
        <item h="1" x="43"/>
        <item h="1" x="78"/>
        <item h="1" x="60"/>
        <item h="1" x="31"/>
        <item h="1" x="129"/>
        <item h="1" x="48"/>
        <item h="1" x="14"/>
        <item h="1" x="80"/>
        <item h="1" x="127"/>
        <item h="1" x="109"/>
        <item h="1" x="117"/>
        <item h="1" x="143"/>
        <item h="1" x="90"/>
        <item h="1" x="125"/>
        <item h="1" x="126"/>
        <item h="1" x="99"/>
        <item h="1" x="56"/>
        <item h="1" x="122"/>
        <item h="1" x="150"/>
        <item h="1" x="63"/>
        <item h="1" x="152"/>
        <item h="1" x="13"/>
        <item h="1" x="81"/>
        <item h="1" x="119"/>
        <item h="1" x="154"/>
        <item t="default"/>
      </items>
    </pivotField>
    <pivotField showAll="0"/>
    <pivotField showAll="0">
      <items count="3">
        <item x="0"/>
        <item x="1"/>
        <item t="default"/>
      </items>
    </pivotField>
    <pivotField dataField="1" showAll="0"/>
    <pivotField showAll="0"/>
    <pivotField showAll="0"/>
    <pivotField showAll="0"/>
    <pivotField showAll="0"/>
    <pivotField showAll="0"/>
    <pivotField showAll="0">
      <items count="6">
        <item x="3"/>
        <item x="0"/>
        <item x="2"/>
        <item x="1"/>
        <item x="4"/>
        <item t="default"/>
      </items>
    </pivotField>
    <pivotField showAll="0"/>
    <pivotField showAll="0"/>
    <pivotField showAll="0"/>
  </pivotFields>
  <rowFields count="1">
    <field x="2"/>
  </rowFields>
  <rowItems count="23">
    <i>
      <x v="1"/>
    </i>
    <i>
      <x v="3"/>
    </i>
    <i>
      <x v="6"/>
    </i>
    <i>
      <x v="22"/>
    </i>
    <i>
      <x v="23"/>
    </i>
    <i>
      <x v="24"/>
    </i>
    <i>
      <x v="29"/>
    </i>
    <i>
      <x v="31"/>
    </i>
    <i>
      <x v="42"/>
    </i>
    <i>
      <x v="63"/>
    </i>
    <i>
      <x v="75"/>
    </i>
    <i>
      <x v="77"/>
    </i>
    <i>
      <x v="92"/>
    </i>
    <i>
      <x v="93"/>
    </i>
    <i>
      <x v="106"/>
    </i>
    <i>
      <x v="109"/>
    </i>
    <i>
      <x v="111"/>
    </i>
    <i>
      <x v="116"/>
    </i>
    <i>
      <x v="122"/>
    </i>
    <i>
      <x v="123"/>
    </i>
    <i>
      <x v="124"/>
    </i>
    <i>
      <x v="125"/>
    </i>
    <i t="grand">
      <x/>
    </i>
  </rowItems>
  <colItems count="1">
    <i/>
  </colItems>
  <dataFields count="1">
    <dataField name=" Children in absolute low income families Value" fld="5" baseField="0" baseItem="0"/>
  </dataFields>
  <formats count="1">
    <format dxfId="0">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E04ED7-A539-4A99-AE4A-DC5BA1FA090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Local Authorities">
  <location ref="K36:L192" firstHeaderRow="1" firstDataRow="1" firstDataCol="1"/>
  <pivotFields count="14">
    <pivotField showAll="0"/>
    <pivotField showAll="0"/>
    <pivotField axis="axisRow" showAll="0">
      <items count="156">
        <item x="31"/>
        <item x="36"/>
        <item x="28"/>
        <item x="151"/>
        <item x="104"/>
        <item x="24"/>
        <item x="16"/>
        <item x="89"/>
        <item x="60"/>
        <item x="65"/>
        <item x="44"/>
        <item x="146"/>
        <item x="82"/>
        <item x="10"/>
        <item x="105"/>
        <item x="91"/>
        <item x="59"/>
        <item x="109"/>
        <item x="72"/>
        <item x="136"/>
        <item x="130"/>
        <item x="6"/>
        <item x="143"/>
        <item x="149"/>
        <item x="131"/>
        <item x="1"/>
        <item x="69"/>
        <item x="120"/>
        <item x="77"/>
        <item x="13"/>
        <item x="127"/>
        <item x="134"/>
        <item x="63"/>
        <item x="107"/>
        <item x="116"/>
        <item x="48"/>
        <item x="132"/>
        <item x="103"/>
        <item x="32"/>
        <item x="125"/>
        <item x="85"/>
        <item x="7"/>
        <item x="0"/>
        <item x="83"/>
        <item x="106"/>
        <item x="99"/>
        <item x="11"/>
        <item x="2"/>
        <item x="68"/>
        <item x="15"/>
        <item x="84"/>
        <item x="12"/>
        <item x="94"/>
        <item x="62"/>
        <item x="30"/>
        <item x="66"/>
        <item x="139"/>
        <item x="19"/>
        <item x="34"/>
        <item x="47"/>
        <item x="153"/>
        <item x="23"/>
        <item x="29"/>
        <item x="75"/>
        <item x="26"/>
        <item x="87"/>
        <item x="78"/>
        <item x="58"/>
        <item x="17"/>
        <item x="122"/>
        <item x="123"/>
        <item x="39"/>
        <item x="118"/>
        <item x="21"/>
        <item x="86"/>
        <item x="71"/>
        <item x="57"/>
        <item x="53"/>
        <item x="51"/>
        <item x="46"/>
        <item x="49"/>
        <item x="42"/>
        <item x="67"/>
        <item x="4"/>
        <item x="119"/>
        <item x="37"/>
        <item x="88"/>
        <item x="102"/>
        <item x="133"/>
        <item x="128"/>
        <item x="126"/>
        <item x="115"/>
        <item x="43"/>
        <item x="111"/>
        <item x="100"/>
        <item x="147"/>
        <item x="101"/>
        <item x="61"/>
        <item x="97"/>
        <item x="80"/>
        <item x="5"/>
        <item x="117"/>
        <item x="64"/>
        <item x="110"/>
        <item x="138"/>
        <item x="152"/>
        <item x="45"/>
        <item x="54"/>
        <item x="124"/>
        <item x="114"/>
        <item x="141"/>
        <item x="8"/>
        <item x="50"/>
        <item x="98"/>
        <item x="96"/>
        <item x="35"/>
        <item x="27"/>
        <item x="79"/>
        <item x="22"/>
        <item x="129"/>
        <item x="81"/>
        <item x="148"/>
        <item x="41"/>
        <item x="20"/>
        <item x="112"/>
        <item x="55"/>
        <item x="121"/>
        <item x="93"/>
        <item x="38"/>
        <item x="108"/>
        <item x="76"/>
        <item x="18"/>
        <item x="74"/>
        <item x="14"/>
        <item x="95"/>
        <item x="52"/>
        <item x="40"/>
        <item x="9"/>
        <item x="25"/>
        <item x="70"/>
        <item x="142"/>
        <item x="135"/>
        <item x="73"/>
        <item x="145"/>
        <item x="3"/>
        <item x="150"/>
        <item x="92"/>
        <item x="137"/>
        <item x="140"/>
        <item x="90"/>
        <item x="33"/>
        <item x="56"/>
        <item x="144"/>
        <item x="113"/>
        <item x="154"/>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5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t="grand">
      <x/>
    </i>
  </rowItems>
  <colItems count="1">
    <i/>
  </colItems>
  <dataFields count="1">
    <dataField name=" School readiness_Val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0BC04-2097-4EDE-84C0-6E00EDB4F254}">
  <dimension ref="A2:H42"/>
  <sheetViews>
    <sheetView showGridLines="0" tabSelected="1" zoomScale="99" workbookViewId="0">
      <selection activeCell="A9" sqref="A9"/>
    </sheetView>
  </sheetViews>
  <sheetFormatPr defaultRowHeight="14.5" x14ac:dyDescent="0.35"/>
  <cols>
    <col min="2" max="3" width="15.6328125" customWidth="1"/>
    <col min="4" max="4" width="16.7265625" customWidth="1"/>
    <col min="5" max="5" width="16.08984375" customWidth="1"/>
    <col min="6" max="7" width="15.6328125" customWidth="1"/>
    <col min="8" max="8" width="17.54296875" customWidth="1"/>
  </cols>
  <sheetData>
    <row r="2" spans="1:8" ht="30" customHeight="1" x14ac:dyDescent="0.4">
      <c r="B2" s="26" t="s">
        <v>189</v>
      </c>
      <c r="C2" s="24"/>
      <c r="D2" s="24"/>
      <c r="E2" s="24"/>
      <c r="F2" s="24"/>
      <c r="G2" s="24"/>
      <c r="H2" s="24"/>
    </row>
    <row r="4" spans="1:8" ht="54.5" customHeight="1" x14ac:dyDescent="0.6">
      <c r="B4" s="27" t="s">
        <v>199</v>
      </c>
      <c r="C4" s="28"/>
      <c r="D4" s="28"/>
      <c r="E4" s="28"/>
      <c r="F4" s="28"/>
      <c r="G4" s="28"/>
      <c r="H4" s="28"/>
    </row>
    <row r="6" spans="1:8" ht="16" x14ac:dyDescent="0.4">
      <c r="B6" s="29" t="s">
        <v>190</v>
      </c>
      <c r="C6" s="30"/>
      <c r="D6" s="30"/>
      <c r="E6" s="30"/>
      <c r="F6" s="30"/>
      <c r="G6" s="30"/>
      <c r="H6" s="30"/>
    </row>
    <row r="7" spans="1:8" ht="16" x14ac:dyDescent="0.4">
      <c r="B7" s="3"/>
      <c r="C7" s="3"/>
      <c r="D7" s="3"/>
      <c r="E7" s="3"/>
      <c r="F7" s="3"/>
      <c r="G7" s="3"/>
      <c r="H7" s="3"/>
    </row>
    <row r="8" spans="1:8" ht="35" customHeight="1" x14ac:dyDescent="0.35">
      <c r="A8" s="2"/>
      <c r="B8" s="31" t="s">
        <v>198</v>
      </c>
      <c r="C8" s="31"/>
      <c r="D8" s="31"/>
      <c r="E8" s="31"/>
      <c r="F8" s="31"/>
      <c r="G8" s="31"/>
      <c r="H8" s="31"/>
    </row>
    <row r="9" spans="1:8" ht="35" customHeight="1" x14ac:dyDescent="0.35">
      <c r="B9" s="31"/>
      <c r="C9" s="31"/>
      <c r="D9" s="31"/>
      <c r="E9" s="31"/>
      <c r="F9" s="31"/>
      <c r="G9" s="31"/>
      <c r="H9" s="31"/>
    </row>
    <row r="10" spans="1:8" ht="35" customHeight="1" x14ac:dyDescent="0.35">
      <c r="B10" s="31"/>
      <c r="C10" s="31"/>
      <c r="D10" s="31"/>
      <c r="E10" s="31"/>
      <c r="F10" s="31"/>
      <c r="G10" s="31"/>
      <c r="H10" s="31"/>
    </row>
    <row r="11" spans="1:8" ht="35" customHeight="1" x14ac:dyDescent="0.35">
      <c r="B11" s="31"/>
      <c r="C11" s="31"/>
      <c r="D11" s="31"/>
      <c r="E11" s="31"/>
      <c r="F11" s="31"/>
      <c r="G11" s="31"/>
      <c r="H11" s="31"/>
    </row>
    <row r="13" spans="1:8" ht="16" x14ac:dyDescent="0.4">
      <c r="B13" s="29" t="s">
        <v>191</v>
      </c>
      <c r="C13" s="29"/>
      <c r="D13" s="29"/>
      <c r="E13" s="29"/>
      <c r="F13" s="29"/>
      <c r="G13" s="29"/>
      <c r="H13" s="29"/>
    </row>
    <row r="15" spans="1:8" ht="16" x14ac:dyDescent="0.4">
      <c r="B15" s="20" t="s">
        <v>194</v>
      </c>
      <c r="C15" s="20"/>
      <c r="D15" s="4"/>
      <c r="E15" s="25" t="s">
        <v>192</v>
      </c>
      <c r="F15" s="20"/>
    </row>
    <row r="16" spans="1:8" x14ac:dyDescent="0.35">
      <c r="B16" s="24" t="s">
        <v>201</v>
      </c>
      <c r="C16" s="24"/>
      <c r="D16" s="24"/>
      <c r="E16" s="24" t="s">
        <v>193</v>
      </c>
      <c r="F16" s="24"/>
      <c r="G16" s="24"/>
      <c r="H16" s="24"/>
    </row>
    <row r="17" spans="2:8" x14ac:dyDescent="0.35">
      <c r="B17" s="2"/>
      <c r="C17" s="2"/>
      <c r="D17" s="2"/>
      <c r="E17" s="2"/>
      <c r="F17" s="2"/>
      <c r="G17" s="2"/>
      <c r="H17" s="2"/>
    </row>
    <row r="18" spans="2:8" ht="30" customHeight="1" x14ac:dyDescent="0.35">
      <c r="B18" s="18" t="s">
        <v>200</v>
      </c>
      <c r="C18" s="18"/>
      <c r="D18" s="18"/>
      <c r="E18" s="24" t="s">
        <v>193</v>
      </c>
      <c r="F18" s="24"/>
      <c r="G18" s="24"/>
      <c r="H18" s="24"/>
    </row>
    <row r="19" spans="2:8" x14ac:dyDescent="0.35">
      <c r="B19" s="24"/>
      <c r="C19" s="24"/>
    </row>
    <row r="21" spans="2:8" ht="15" customHeight="1" x14ac:dyDescent="0.4">
      <c r="B21" s="21" t="s">
        <v>202</v>
      </c>
      <c r="C21" s="22"/>
      <c r="D21" s="22"/>
      <c r="E21" s="22"/>
      <c r="F21" s="22"/>
      <c r="G21" s="22"/>
      <c r="H21" s="22"/>
    </row>
    <row r="23" spans="2:8" ht="16" x14ac:dyDescent="0.4">
      <c r="B23" s="23" t="s">
        <v>203</v>
      </c>
      <c r="C23" s="23"/>
      <c r="D23" s="5"/>
      <c r="E23" s="5"/>
    </row>
    <row r="24" spans="2:8" x14ac:dyDescent="0.35">
      <c r="B24" s="20" t="s">
        <v>204</v>
      </c>
      <c r="C24" s="20"/>
    </row>
    <row r="25" spans="2:8" x14ac:dyDescent="0.35">
      <c r="B25" s="24" t="s">
        <v>28</v>
      </c>
      <c r="C25" s="24"/>
      <c r="D25" s="24"/>
    </row>
    <row r="26" spans="2:8" x14ac:dyDescent="0.35">
      <c r="B26" s="20" t="s">
        <v>205</v>
      </c>
      <c r="C26" s="20"/>
    </row>
    <row r="27" spans="2:8" x14ac:dyDescent="0.35">
      <c r="B27" t="s">
        <v>23</v>
      </c>
    </row>
    <row r="29" spans="2:8" ht="16" x14ac:dyDescent="0.4">
      <c r="B29" s="21" t="s">
        <v>211</v>
      </c>
      <c r="C29" s="21"/>
      <c r="D29" s="21"/>
      <c r="E29" s="21"/>
      <c r="F29" s="21"/>
      <c r="G29" s="21"/>
      <c r="H29" s="21"/>
    </row>
    <row r="31" spans="2:8" x14ac:dyDescent="0.35">
      <c r="B31" s="20" t="s">
        <v>206</v>
      </c>
      <c r="C31" s="20"/>
    </row>
    <row r="32" spans="2:8" ht="21" x14ac:dyDescent="0.5">
      <c r="B32" s="6">
        <v>0.1</v>
      </c>
    </row>
    <row r="33" spans="2:8" ht="21.5" customHeight="1" x14ac:dyDescent="0.35">
      <c r="B33" s="18" t="s">
        <v>212</v>
      </c>
      <c r="C33" s="18"/>
      <c r="D33" s="18"/>
      <c r="E33" s="18"/>
    </row>
    <row r="34" spans="2:8" ht="23" customHeight="1" x14ac:dyDescent="0.35">
      <c r="B34" s="18"/>
      <c r="C34" s="18"/>
      <c r="D34" s="18"/>
      <c r="E34" s="18"/>
    </row>
    <row r="35" spans="2:8" x14ac:dyDescent="0.35">
      <c r="B35" s="20" t="s">
        <v>207</v>
      </c>
      <c r="C35" s="20"/>
    </row>
    <row r="36" spans="2:8" ht="18.5" customHeight="1" x14ac:dyDescent="0.5">
      <c r="B36" s="6">
        <v>0.2</v>
      </c>
    </row>
    <row r="37" spans="2:8" x14ac:dyDescent="0.35">
      <c r="B37" s="18" t="s">
        <v>208</v>
      </c>
      <c r="C37" s="18"/>
      <c r="D37" s="18"/>
      <c r="E37" s="18"/>
      <c r="F37" s="7"/>
      <c r="G37" s="7"/>
      <c r="H37" s="7"/>
    </row>
    <row r="38" spans="2:8" ht="18" customHeight="1" x14ac:dyDescent="0.35">
      <c r="B38" s="18"/>
      <c r="C38" s="18"/>
      <c r="D38" s="18"/>
      <c r="E38" s="18"/>
      <c r="F38" s="7"/>
      <c r="G38" s="7"/>
      <c r="H38" s="7"/>
    </row>
    <row r="39" spans="2:8" x14ac:dyDescent="0.35">
      <c r="B39" s="20" t="s">
        <v>209</v>
      </c>
      <c r="C39" s="20"/>
    </row>
    <row r="40" spans="2:8" ht="21" x14ac:dyDescent="0.5">
      <c r="B40" s="6">
        <v>0.3</v>
      </c>
    </row>
    <row r="41" spans="2:8" ht="28" customHeight="1" x14ac:dyDescent="0.35">
      <c r="B41" s="18" t="s">
        <v>210</v>
      </c>
      <c r="C41" s="18"/>
      <c r="D41" s="18"/>
      <c r="E41" s="18"/>
    </row>
    <row r="42" spans="2:8" ht="33" customHeight="1" x14ac:dyDescent="0.35">
      <c r="B42" s="18"/>
      <c r="C42" s="18"/>
      <c r="D42" s="18"/>
      <c r="E42" s="18"/>
    </row>
  </sheetData>
  <mergeCells count="24">
    <mergeCell ref="B2:H2"/>
    <mergeCell ref="B4:H4"/>
    <mergeCell ref="B6:H6"/>
    <mergeCell ref="B13:H13"/>
    <mergeCell ref="B8:H11"/>
    <mergeCell ref="B15:C15"/>
    <mergeCell ref="B19:C19"/>
    <mergeCell ref="E15:F15"/>
    <mergeCell ref="B16:D16"/>
    <mergeCell ref="E16:H16"/>
    <mergeCell ref="E18:H18"/>
    <mergeCell ref="B18:D18"/>
    <mergeCell ref="B26:C26"/>
    <mergeCell ref="B29:H29"/>
    <mergeCell ref="B31:C31"/>
    <mergeCell ref="B21:H21"/>
    <mergeCell ref="B23:C23"/>
    <mergeCell ref="B24:C24"/>
    <mergeCell ref="B25:D25"/>
    <mergeCell ref="B35:C35"/>
    <mergeCell ref="B39:C39"/>
    <mergeCell ref="B33:E34"/>
    <mergeCell ref="B37:E38"/>
    <mergeCell ref="B41:E4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FC1D0-0E06-4C5E-8AED-92E4DF552A07}">
  <dimension ref="B2:L353"/>
  <sheetViews>
    <sheetView zoomScale="55" workbookViewId="0">
      <selection activeCell="D200" sqref="D200"/>
    </sheetView>
  </sheetViews>
  <sheetFormatPr defaultRowHeight="14.5" x14ac:dyDescent="0.35"/>
  <cols>
    <col min="2" max="2" width="25.54296875" bestFit="1" customWidth="1"/>
    <col min="3" max="3" width="18.26953125" bestFit="1" customWidth="1"/>
    <col min="4" max="4" width="14.08984375" customWidth="1"/>
    <col min="5" max="5" width="12.453125" customWidth="1"/>
    <col min="6" max="6" width="18.1796875" customWidth="1"/>
    <col min="7" max="7" width="14.36328125" customWidth="1"/>
    <col min="10" max="10" width="17.36328125" customWidth="1"/>
    <col min="11" max="11" width="32.36328125" bestFit="1" customWidth="1"/>
    <col min="12" max="12" width="21.26953125" bestFit="1" customWidth="1"/>
  </cols>
  <sheetData>
    <row r="2" spans="2:8" ht="24" customHeight="1" x14ac:dyDescent="0.35">
      <c r="B2" s="17" t="s">
        <v>219</v>
      </c>
      <c r="C2" s="17"/>
      <c r="D2" s="17"/>
      <c r="E2" s="17"/>
      <c r="F2" s="17"/>
      <c r="G2" s="17"/>
      <c r="H2" s="17"/>
    </row>
    <row r="3" spans="2:8" ht="17.5" customHeight="1" x14ac:dyDescent="0.35">
      <c r="B3" s="17"/>
      <c r="C3" s="17"/>
      <c r="D3" s="17"/>
      <c r="E3" s="17"/>
      <c r="F3" s="17"/>
      <c r="G3" s="17"/>
      <c r="H3" s="17"/>
    </row>
    <row r="6" spans="2:8" ht="41" customHeight="1" x14ac:dyDescent="0.35">
      <c r="B6" s="8" t="s">
        <v>213</v>
      </c>
      <c r="C6" s="15" t="s">
        <v>214</v>
      </c>
      <c r="D6" s="15" t="s">
        <v>215</v>
      </c>
      <c r="E6" s="10" t="s">
        <v>216</v>
      </c>
      <c r="F6" s="10" t="s">
        <v>217</v>
      </c>
      <c r="G6" s="12" t="s">
        <v>218</v>
      </c>
    </row>
    <row r="7" spans="2:8" x14ac:dyDescent="0.35">
      <c r="B7" s="11" t="s">
        <v>26</v>
      </c>
      <c r="C7" s="9">
        <f>C_cheshire_vs_England_B01b!G3</f>
        <v>15.6</v>
      </c>
      <c r="D7" s="9">
        <f>C_cheshire_vs_England_B01b!G2</f>
        <v>19.7</v>
      </c>
      <c r="E7" s="9"/>
      <c r="F7" s="9"/>
      <c r="G7">
        <f>C7-D7</f>
        <v>-4.0999999999999996</v>
      </c>
    </row>
    <row r="8" spans="2:8" x14ac:dyDescent="0.35">
      <c r="B8" s="11" t="s">
        <v>30</v>
      </c>
      <c r="C8" s="9">
        <f>C_cheshire_vs_England_B01b!G5</f>
        <v>17.8</v>
      </c>
      <c r="D8" s="9">
        <f>C_cheshire_vs_England_B01b!G4</f>
        <v>21.9</v>
      </c>
      <c r="E8" s="9">
        <f t="shared" ref="E8:F10" si="0">C8-C7</f>
        <v>2.2000000000000011</v>
      </c>
      <c r="F8" s="9">
        <f t="shared" si="0"/>
        <v>2.1999999999999993</v>
      </c>
      <c r="G8">
        <f t="shared" ref="G8:G10" si="1">C8-D8</f>
        <v>-4.0999999999999979</v>
      </c>
    </row>
    <row r="9" spans="2:8" x14ac:dyDescent="0.35">
      <c r="B9" s="11" t="s">
        <v>31</v>
      </c>
      <c r="C9" s="9">
        <f>C_cheshire_vs_England_B01b!G7</f>
        <v>16.7</v>
      </c>
      <c r="D9" s="9">
        <f>C_cheshire_vs_England_B01b!G6</f>
        <v>21.1</v>
      </c>
      <c r="E9" s="9">
        <f t="shared" si="0"/>
        <v>-1.1000000000000014</v>
      </c>
      <c r="F9" s="9">
        <f t="shared" si="0"/>
        <v>-0.79999999999999716</v>
      </c>
      <c r="G9">
        <f t="shared" si="1"/>
        <v>-4.4000000000000021</v>
      </c>
    </row>
    <row r="10" spans="2:8" x14ac:dyDescent="0.35">
      <c r="B10" s="11" t="s">
        <v>32</v>
      </c>
      <c r="C10" s="9">
        <f>C_cheshire_vs_England_B01b!G9</f>
        <v>15.1</v>
      </c>
      <c r="D10" s="9">
        <f>C_cheshire_vs_England_B01b!G8</f>
        <v>19.8</v>
      </c>
      <c r="E10" s="9">
        <f t="shared" si="0"/>
        <v>-1.5999999999999996</v>
      </c>
      <c r="F10" s="9">
        <f t="shared" si="0"/>
        <v>-1.3000000000000007</v>
      </c>
      <c r="G10">
        <f t="shared" si="1"/>
        <v>-4.7000000000000011</v>
      </c>
    </row>
    <row r="28" spans="2:8" x14ac:dyDescent="0.35">
      <c r="B28" s="18" t="s">
        <v>227</v>
      </c>
      <c r="C28" s="18"/>
      <c r="D28" s="18"/>
      <c r="E28" s="18"/>
      <c r="F28" s="18"/>
      <c r="G28" s="18"/>
      <c r="H28" s="18"/>
    </row>
    <row r="29" spans="2:8" x14ac:dyDescent="0.35">
      <c r="B29" s="18"/>
      <c r="C29" s="18"/>
      <c r="D29" s="18"/>
      <c r="E29" s="18"/>
      <c r="F29" s="18"/>
      <c r="G29" s="18"/>
      <c r="H29" s="18"/>
    </row>
    <row r="31" spans="2:8" ht="10" customHeight="1" x14ac:dyDescent="0.35"/>
    <row r="32" spans="2:8" ht="25" customHeight="1" x14ac:dyDescent="0.35">
      <c r="B32" s="17" t="s">
        <v>220</v>
      </c>
      <c r="C32" s="19"/>
      <c r="D32" s="19"/>
      <c r="E32" s="19"/>
      <c r="F32" s="19"/>
      <c r="G32" s="19"/>
      <c r="H32" s="19"/>
    </row>
    <row r="33" spans="2:12" x14ac:dyDescent="0.35">
      <c r="B33" s="19"/>
      <c r="C33" s="19"/>
      <c r="D33" s="19"/>
      <c r="E33" s="19"/>
      <c r="F33" s="19"/>
      <c r="G33" s="19"/>
      <c r="H33" s="19"/>
    </row>
    <row r="36" spans="2:12" ht="58" x14ac:dyDescent="0.35">
      <c r="B36" s="13" t="s">
        <v>223</v>
      </c>
      <c r="C36" s="7" t="s">
        <v>226</v>
      </c>
      <c r="K36" s="13" t="s">
        <v>223</v>
      </c>
      <c r="L36" t="s">
        <v>228</v>
      </c>
    </row>
    <row r="37" spans="2:12" x14ac:dyDescent="0.35">
      <c r="B37" s="2" t="s">
        <v>180</v>
      </c>
      <c r="C37">
        <v>11.2</v>
      </c>
      <c r="E37" s="14" t="s">
        <v>225</v>
      </c>
      <c r="F37" s="14" t="s">
        <v>224</v>
      </c>
      <c r="K37" s="2" t="s">
        <v>181</v>
      </c>
      <c r="L37">
        <v>55.6845</v>
      </c>
    </row>
    <row r="38" spans="2:12" x14ac:dyDescent="0.35">
      <c r="B38" s="2" t="s">
        <v>144</v>
      </c>
      <c r="C38">
        <v>10.199999999999999</v>
      </c>
      <c r="E38">
        <f>MEDIAN(C37:C191)</f>
        <v>21.8</v>
      </c>
      <c r="F38">
        <f>SUM(C37:C191)/COUNT(C37:C191)</f>
        <v>42.721739130434784</v>
      </c>
      <c r="K38" s="2" t="s">
        <v>180</v>
      </c>
      <c r="L38">
        <v>55</v>
      </c>
    </row>
    <row r="39" spans="2:12" x14ac:dyDescent="0.35">
      <c r="B39" s="2" t="s">
        <v>71</v>
      </c>
      <c r="C39">
        <v>39.5</v>
      </c>
      <c r="K39" s="2" t="s">
        <v>86</v>
      </c>
      <c r="L39">
        <v>55.974800000000002</v>
      </c>
    </row>
    <row r="40" spans="2:12" x14ac:dyDescent="0.35">
      <c r="B40" s="2" t="s">
        <v>48</v>
      </c>
      <c r="C40">
        <v>11.7</v>
      </c>
      <c r="K40" s="2" t="s">
        <v>144</v>
      </c>
      <c r="L40">
        <v>38.219900000000003</v>
      </c>
    </row>
    <row r="41" spans="2:12" x14ac:dyDescent="0.35">
      <c r="B41" s="2" t="s">
        <v>46</v>
      </c>
      <c r="C41">
        <v>13</v>
      </c>
      <c r="K41" s="2" t="s">
        <v>119</v>
      </c>
      <c r="L41">
        <v>47.452199999999998</v>
      </c>
    </row>
    <row r="42" spans="2:12" x14ac:dyDescent="0.35">
      <c r="B42" s="2" t="s">
        <v>28</v>
      </c>
      <c r="C42">
        <v>15.1</v>
      </c>
      <c r="K42" s="2" t="s">
        <v>179</v>
      </c>
      <c r="L42">
        <v>56.901400000000002</v>
      </c>
    </row>
    <row r="43" spans="2:12" x14ac:dyDescent="0.35">
      <c r="B43" s="2" t="s">
        <v>175</v>
      </c>
      <c r="C43">
        <v>16.399999999999999</v>
      </c>
      <c r="K43" s="2" t="s">
        <v>71</v>
      </c>
      <c r="L43">
        <v>59.481099999999998</v>
      </c>
    </row>
    <row r="44" spans="2:12" x14ac:dyDescent="0.35">
      <c r="B44" s="2" t="s">
        <v>74</v>
      </c>
      <c r="C44">
        <v>24.8</v>
      </c>
      <c r="K44" s="2" t="s">
        <v>91</v>
      </c>
      <c r="L44">
        <v>49.520800000000001</v>
      </c>
    </row>
    <row r="45" spans="2:12" x14ac:dyDescent="0.35">
      <c r="B45" s="2" t="s">
        <v>23</v>
      </c>
      <c r="C45">
        <v>19.8</v>
      </c>
      <c r="K45" s="2" t="s">
        <v>90</v>
      </c>
      <c r="L45">
        <v>52.300199999999997</v>
      </c>
    </row>
    <row r="46" spans="2:12" x14ac:dyDescent="0.35">
      <c r="B46" s="2" t="s">
        <v>42</v>
      </c>
      <c r="C46">
        <v>15.3</v>
      </c>
      <c r="K46" s="2" t="s">
        <v>101</v>
      </c>
      <c r="L46">
        <v>51.704500000000003</v>
      </c>
    </row>
    <row r="47" spans="2:12" x14ac:dyDescent="0.35">
      <c r="B47" s="2" t="s">
        <v>105</v>
      </c>
      <c r="C47">
        <v>29.6</v>
      </c>
      <c r="K47" s="2" t="s">
        <v>88</v>
      </c>
      <c r="L47">
        <v>53.829300000000003</v>
      </c>
    </row>
    <row r="48" spans="2:12" x14ac:dyDescent="0.35">
      <c r="B48" s="2" t="s">
        <v>99</v>
      </c>
      <c r="C48">
        <v>35.5</v>
      </c>
      <c r="K48" s="2" t="s">
        <v>114</v>
      </c>
      <c r="L48">
        <v>43.243200000000002</v>
      </c>
    </row>
    <row r="49" spans="2:12" x14ac:dyDescent="0.35">
      <c r="B49" s="2" t="s">
        <v>145</v>
      </c>
      <c r="C49">
        <v>33.700000000000003</v>
      </c>
      <c r="K49" s="2" t="s">
        <v>60</v>
      </c>
      <c r="L49">
        <v>50.351500000000001</v>
      </c>
    </row>
    <row r="50" spans="2:12" x14ac:dyDescent="0.35">
      <c r="B50" s="2" t="s">
        <v>37</v>
      </c>
      <c r="C50">
        <v>19.5</v>
      </c>
      <c r="K50" s="2" t="s">
        <v>178</v>
      </c>
      <c r="L50">
        <v>61.283999999999999</v>
      </c>
    </row>
    <row r="51" spans="2:12" x14ac:dyDescent="0.35">
      <c r="B51" s="2" t="s">
        <v>96</v>
      </c>
      <c r="C51">
        <v>25.4</v>
      </c>
      <c r="K51" s="2" t="s">
        <v>183</v>
      </c>
      <c r="L51">
        <v>47.344099999999997</v>
      </c>
    </row>
    <row r="52" spans="2:12" x14ac:dyDescent="0.35">
      <c r="B52" s="2" t="s">
        <v>83</v>
      </c>
      <c r="C52">
        <v>28.5</v>
      </c>
      <c r="K52" s="2" t="s">
        <v>143</v>
      </c>
      <c r="L52">
        <v>49.005200000000002</v>
      </c>
    </row>
    <row r="53" spans="2:12" x14ac:dyDescent="0.35">
      <c r="B53" s="2" t="s">
        <v>109</v>
      </c>
      <c r="C53">
        <v>19.3</v>
      </c>
      <c r="K53" s="2" t="s">
        <v>177</v>
      </c>
      <c r="L53">
        <v>52.339199999999998</v>
      </c>
    </row>
    <row r="54" spans="2:12" x14ac:dyDescent="0.35">
      <c r="B54" s="2" t="s">
        <v>125</v>
      </c>
      <c r="C54">
        <v>21.8</v>
      </c>
      <c r="K54" s="2" t="s">
        <v>113</v>
      </c>
      <c r="L54">
        <v>46.955100000000002</v>
      </c>
    </row>
    <row r="55" spans="2:12" x14ac:dyDescent="0.35">
      <c r="B55" s="2" t="s">
        <v>52</v>
      </c>
      <c r="C55">
        <v>22.3</v>
      </c>
      <c r="K55" s="2" t="s">
        <v>100</v>
      </c>
      <c r="L55">
        <v>50.915799999999997</v>
      </c>
    </row>
    <row r="56" spans="2:12" x14ac:dyDescent="0.35">
      <c r="B56" s="2" t="s">
        <v>117</v>
      </c>
      <c r="C56">
        <v>35</v>
      </c>
      <c r="K56" s="2" t="s">
        <v>59</v>
      </c>
      <c r="L56">
        <v>44.469000000000001</v>
      </c>
    </row>
    <row r="57" spans="2:12" x14ac:dyDescent="0.35">
      <c r="B57" s="2" t="s">
        <v>184</v>
      </c>
      <c r="C57">
        <v>18</v>
      </c>
      <c r="K57" s="2" t="s">
        <v>129</v>
      </c>
      <c r="L57">
        <v>45.069000000000003</v>
      </c>
    </row>
    <row r="58" spans="2:12" x14ac:dyDescent="0.35">
      <c r="B58" s="2" t="s">
        <v>76</v>
      </c>
      <c r="C58">
        <v>25.7</v>
      </c>
      <c r="K58" s="2" t="s">
        <v>176</v>
      </c>
      <c r="L58">
        <v>63.145499999999998</v>
      </c>
    </row>
    <row r="59" spans="2:12" x14ac:dyDescent="0.35">
      <c r="B59" s="2" t="s">
        <v>221</v>
      </c>
      <c r="C59">
        <v>491.3</v>
      </c>
      <c r="K59" s="2" t="s">
        <v>48</v>
      </c>
      <c r="L59">
        <v>43.445700000000002</v>
      </c>
    </row>
    <row r="60" spans="2:12" x14ac:dyDescent="0.35">
      <c r="K60" s="2" t="s">
        <v>46</v>
      </c>
      <c r="L60">
        <v>42.637999999999998</v>
      </c>
    </row>
    <row r="61" spans="2:12" x14ac:dyDescent="0.35">
      <c r="K61" s="2" t="s">
        <v>28</v>
      </c>
      <c r="L61">
        <v>45.045000000000002</v>
      </c>
    </row>
    <row r="62" spans="2:12" x14ac:dyDescent="0.35">
      <c r="K62" s="2" t="s">
        <v>182</v>
      </c>
      <c r="L62">
        <v>100</v>
      </c>
    </row>
    <row r="63" spans="2:12" x14ac:dyDescent="0.35">
      <c r="K63" s="2" t="s">
        <v>124</v>
      </c>
      <c r="L63">
        <v>51.502099999999999</v>
      </c>
    </row>
    <row r="64" spans="2:12" x14ac:dyDescent="0.35">
      <c r="K64" s="2" t="s">
        <v>75</v>
      </c>
      <c r="L64">
        <v>46.010800000000003</v>
      </c>
    </row>
    <row r="65" spans="11:12" x14ac:dyDescent="0.35">
      <c r="K65" s="2" t="s">
        <v>70</v>
      </c>
      <c r="L65">
        <v>50.540500000000002</v>
      </c>
    </row>
    <row r="66" spans="11:12" x14ac:dyDescent="0.35">
      <c r="K66" s="2" t="s">
        <v>175</v>
      </c>
      <c r="L66">
        <v>60.216299999999997</v>
      </c>
    </row>
    <row r="67" spans="11:12" x14ac:dyDescent="0.35">
      <c r="K67" s="2" t="s">
        <v>132</v>
      </c>
      <c r="L67">
        <v>45.382599999999996</v>
      </c>
    </row>
    <row r="68" spans="11:12" x14ac:dyDescent="0.35">
      <c r="K68" s="2" t="s">
        <v>74</v>
      </c>
      <c r="L68">
        <v>44.748899999999999</v>
      </c>
    </row>
    <row r="69" spans="11:12" x14ac:dyDescent="0.35">
      <c r="K69" s="2" t="s">
        <v>73</v>
      </c>
      <c r="L69">
        <v>52.068100000000001</v>
      </c>
    </row>
    <row r="70" spans="11:12" x14ac:dyDescent="0.35">
      <c r="K70" s="2" t="s">
        <v>72</v>
      </c>
      <c r="L70">
        <v>47.096800000000002</v>
      </c>
    </row>
    <row r="71" spans="11:12" x14ac:dyDescent="0.35">
      <c r="K71" s="2" t="s">
        <v>123</v>
      </c>
      <c r="L71">
        <v>46.311500000000002</v>
      </c>
    </row>
    <row r="72" spans="11:12" x14ac:dyDescent="0.35">
      <c r="K72" s="2" t="s">
        <v>85</v>
      </c>
      <c r="L72">
        <v>53.507599999999996</v>
      </c>
    </row>
    <row r="73" spans="11:12" x14ac:dyDescent="0.35">
      <c r="K73" s="2" t="s">
        <v>87</v>
      </c>
      <c r="L73">
        <v>45.031100000000002</v>
      </c>
    </row>
    <row r="74" spans="11:12" x14ac:dyDescent="0.35">
      <c r="K74" s="2" t="s">
        <v>69</v>
      </c>
      <c r="L74">
        <v>47.478299999999997</v>
      </c>
    </row>
    <row r="75" spans="11:12" x14ac:dyDescent="0.35">
      <c r="K75" s="2" t="s">
        <v>174</v>
      </c>
      <c r="L75">
        <v>55.555599999999998</v>
      </c>
    </row>
    <row r="76" spans="11:12" x14ac:dyDescent="0.35">
      <c r="K76" s="2" t="s">
        <v>64</v>
      </c>
      <c r="L76">
        <v>45.821300000000001</v>
      </c>
    </row>
    <row r="77" spans="11:12" x14ac:dyDescent="0.35">
      <c r="K77" s="2" t="s">
        <v>41</v>
      </c>
      <c r="L77">
        <v>50.059899999999999</v>
      </c>
    </row>
    <row r="78" spans="11:12" x14ac:dyDescent="0.35">
      <c r="K78" s="2" t="s">
        <v>173</v>
      </c>
      <c r="L78">
        <v>62.331800000000001</v>
      </c>
    </row>
    <row r="79" spans="11:12" x14ac:dyDescent="0.35">
      <c r="K79" s="2" t="s">
        <v>23</v>
      </c>
      <c r="L79">
        <v>51.257100000000001</v>
      </c>
    </row>
    <row r="80" spans="11:12" x14ac:dyDescent="0.35">
      <c r="K80" s="2" t="s">
        <v>148</v>
      </c>
      <c r="L80">
        <v>50.330300000000001</v>
      </c>
    </row>
    <row r="81" spans="11:12" x14ac:dyDescent="0.35">
      <c r="K81" s="2" t="s">
        <v>81</v>
      </c>
      <c r="L81">
        <v>47.117800000000003</v>
      </c>
    </row>
    <row r="82" spans="11:12" x14ac:dyDescent="0.35">
      <c r="K82" s="2" t="s">
        <v>44</v>
      </c>
      <c r="L82">
        <v>48.333300000000001</v>
      </c>
    </row>
    <row r="83" spans="11:12" x14ac:dyDescent="0.35">
      <c r="K83" s="2" t="s">
        <v>172</v>
      </c>
      <c r="L83">
        <v>61.021900000000002</v>
      </c>
    </row>
    <row r="84" spans="11:12" x14ac:dyDescent="0.35">
      <c r="K84" s="2" t="s">
        <v>171</v>
      </c>
      <c r="L84">
        <v>65.905799999999999</v>
      </c>
    </row>
    <row r="85" spans="11:12" x14ac:dyDescent="0.35">
      <c r="K85" s="2" t="s">
        <v>102</v>
      </c>
      <c r="L85">
        <v>51.5152</v>
      </c>
    </row>
    <row r="86" spans="11:12" x14ac:dyDescent="0.35">
      <c r="K86" s="2" t="s">
        <v>170</v>
      </c>
      <c r="L86">
        <v>59.745800000000003</v>
      </c>
    </row>
    <row r="87" spans="11:12" x14ac:dyDescent="0.35">
      <c r="K87" s="2" t="s">
        <v>49</v>
      </c>
      <c r="L87">
        <v>50.240299999999998</v>
      </c>
    </row>
    <row r="88" spans="11:12" x14ac:dyDescent="0.35">
      <c r="K88" s="2" t="s">
        <v>169</v>
      </c>
      <c r="L88">
        <v>60.411900000000003</v>
      </c>
    </row>
    <row r="89" spans="11:12" x14ac:dyDescent="0.35">
      <c r="K89" s="2" t="s">
        <v>168</v>
      </c>
      <c r="L89">
        <v>48.736499999999999</v>
      </c>
    </row>
    <row r="90" spans="11:12" x14ac:dyDescent="0.35">
      <c r="K90" s="2" t="s">
        <v>55</v>
      </c>
      <c r="L90">
        <v>52.215200000000003</v>
      </c>
    </row>
    <row r="91" spans="11:12" x14ac:dyDescent="0.35">
      <c r="K91" s="2" t="s">
        <v>167</v>
      </c>
      <c r="L91">
        <v>55.6995</v>
      </c>
    </row>
    <row r="92" spans="11:12" x14ac:dyDescent="0.35">
      <c r="K92" s="2" t="s">
        <v>139</v>
      </c>
      <c r="L92">
        <v>51.658799999999999</v>
      </c>
    </row>
    <row r="93" spans="11:12" x14ac:dyDescent="0.35">
      <c r="K93" s="2" t="s">
        <v>149</v>
      </c>
      <c r="L93">
        <v>43.852200000000003</v>
      </c>
    </row>
    <row r="94" spans="11:12" x14ac:dyDescent="0.35">
      <c r="K94" s="2" t="s">
        <v>166</v>
      </c>
      <c r="L94">
        <v>58.134900000000002</v>
      </c>
    </row>
    <row r="95" spans="11:12" x14ac:dyDescent="0.35">
      <c r="K95" s="2" t="s">
        <v>165</v>
      </c>
      <c r="L95">
        <v>55.0914</v>
      </c>
    </row>
    <row r="96" spans="11:12" x14ac:dyDescent="0.35">
      <c r="K96" s="2" t="s">
        <v>127</v>
      </c>
      <c r="L96">
        <v>53.543300000000002</v>
      </c>
    </row>
    <row r="97" spans="11:12" x14ac:dyDescent="0.35">
      <c r="K97" s="2" t="s">
        <v>122</v>
      </c>
    </row>
    <row r="98" spans="11:12" x14ac:dyDescent="0.35">
      <c r="K98" s="2" t="s">
        <v>164</v>
      </c>
      <c r="L98">
        <v>57.009300000000003</v>
      </c>
    </row>
    <row r="99" spans="11:12" x14ac:dyDescent="0.35">
      <c r="K99" s="2" t="s">
        <v>163</v>
      </c>
      <c r="L99">
        <v>55.814</v>
      </c>
    </row>
    <row r="100" spans="11:12" x14ac:dyDescent="0.35">
      <c r="K100" s="2" t="s">
        <v>42</v>
      </c>
      <c r="L100">
        <v>50.670099999999998</v>
      </c>
    </row>
    <row r="101" spans="11:12" x14ac:dyDescent="0.35">
      <c r="K101" s="2" t="s">
        <v>63</v>
      </c>
      <c r="L101">
        <v>56.13</v>
      </c>
    </row>
    <row r="102" spans="11:12" x14ac:dyDescent="0.35">
      <c r="K102" s="2" t="s">
        <v>162</v>
      </c>
      <c r="L102">
        <v>49.710999999999999</v>
      </c>
    </row>
    <row r="103" spans="11:12" x14ac:dyDescent="0.35">
      <c r="K103" s="2" t="s">
        <v>58</v>
      </c>
      <c r="L103">
        <v>50.488999999999997</v>
      </c>
    </row>
    <row r="104" spans="11:12" x14ac:dyDescent="0.35">
      <c r="K104" s="2" t="s">
        <v>106</v>
      </c>
      <c r="L104">
        <v>52.4</v>
      </c>
    </row>
    <row r="105" spans="11:12" x14ac:dyDescent="0.35">
      <c r="K105" s="2" t="s">
        <v>161</v>
      </c>
      <c r="L105">
        <v>59.128999999999998</v>
      </c>
    </row>
    <row r="106" spans="11:12" x14ac:dyDescent="0.35">
      <c r="K106" s="2" t="s">
        <v>89</v>
      </c>
      <c r="L106">
        <v>46.005499999999998</v>
      </c>
    </row>
    <row r="107" spans="11:12" x14ac:dyDescent="0.35">
      <c r="K107" s="2" t="s">
        <v>57</v>
      </c>
      <c r="L107">
        <v>45.826900000000002</v>
      </c>
    </row>
    <row r="108" spans="11:12" x14ac:dyDescent="0.35">
      <c r="K108" s="2" t="s">
        <v>135</v>
      </c>
      <c r="L108">
        <v>54.505800000000001</v>
      </c>
    </row>
    <row r="109" spans="11:12" x14ac:dyDescent="0.35">
      <c r="K109" s="2" t="s">
        <v>134</v>
      </c>
      <c r="L109">
        <v>46.134300000000003</v>
      </c>
    </row>
    <row r="110" spans="11:12" x14ac:dyDescent="0.35">
      <c r="K110" s="2" t="s">
        <v>160</v>
      </c>
      <c r="L110">
        <v>58.070500000000003</v>
      </c>
    </row>
    <row r="111" spans="11:12" x14ac:dyDescent="0.35">
      <c r="K111" s="2" t="s">
        <v>140</v>
      </c>
      <c r="L111">
        <v>50</v>
      </c>
    </row>
    <row r="112" spans="11:12" x14ac:dyDescent="0.35">
      <c r="K112" s="2" t="s">
        <v>105</v>
      </c>
      <c r="L112">
        <v>51.007899999999999</v>
      </c>
    </row>
    <row r="113" spans="11:12" x14ac:dyDescent="0.35">
      <c r="K113" s="2" t="s">
        <v>118</v>
      </c>
      <c r="L113">
        <v>52.553199999999997</v>
      </c>
    </row>
    <row r="114" spans="11:12" x14ac:dyDescent="0.35">
      <c r="K114" s="2" t="s">
        <v>99</v>
      </c>
      <c r="L114">
        <v>53.0854</v>
      </c>
    </row>
    <row r="115" spans="11:12" x14ac:dyDescent="0.35">
      <c r="K115" s="2" t="s">
        <v>82</v>
      </c>
      <c r="L115">
        <v>53.172199999999997</v>
      </c>
    </row>
    <row r="116" spans="11:12" x14ac:dyDescent="0.35">
      <c r="K116" s="2" t="s">
        <v>159</v>
      </c>
      <c r="L116">
        <v>53.6145</v>
      </c>
    </row>
    <row r="117" spans="11:12" x14ac:dyDescent="0.35">
      <c r="K117" s="2" t="s">
        <v>54</v>
      </c>
      <c r="L117">
        <v>53.472200000000001</v>
      </c>
    </row>
    <row r="118" spans="11:12" x14ac:dyDescent="0.35">
      <c r="K118" s="2" t="s">
        <v>112</v>
      </c>
      <c r="L118">
        <v>54.021000000000001</v>
      </c>
    </row>
    <row r="119" spans="11:12" x14ac:dyDescent="0.35">
      <c r="K119" s="2" t="s">
        <v>80</v>
      </c>
      <c r="L119">
        <v>51.542900000000003</v>
      </c>
    </row>
    <row r="120" spans="11:12" x14ac:dyDescent="0.35">
      <c r="K120" s="2" t="s">
        <v>158</v>
      </c>
      <c r="L120">
        <v>64.182400000000001</v>
      </c>
    </row>
    <row r="121" spans="11:12" x14ac:dyDescent="0.35">
      <c r="K121" s="2" t="s">
        <v>136</v>
      </c>
      <c r="L121">
        <v>46.045699999999997</v>
      </c>
    </row>
    <row r="122" spans="11:12" x14ac:dyDescent="0.35">
      <c r="K122" s="2" t="s">
        <v>62</v>
      </c>
      <c r="L122">
        <v>54.615400000000001</v>
      </c>
    </row>
    <row r="123" spans="11:12" x14ac:dyDescent="0.35">
      <c r="K123" s="2" t="s">
        <v>61</v>
      </c>
      <c r="L123">
        <v>49.693300000000001</v>
      </c>
    </row>
    <row r="124" spans="11:12" x14ac:dyDescent="0.35">
      <c r="K124" s="2" t="s">
        <v>116</v>
      </c>
      <c r="L124">
        <v>47.858499999999999</v>
      </c>
    </row>
    <row r="125" spans="11:12" x14ac:dyDescent="0.35">
      <c r="K125" s="2" t="s">
        <v>142</v>
      </c>
      <c r="L125">
        <v>44.886400000000002</v>
      </c>
    </row>
    <row r="126" spans="11:12" x14ac:dyDescent="0.35">
      <c r="K126" s="2" t="s">
        <v>79</v>
      </c>
      <c r="L126">
        <v>45.238100000000003</v>
      </c>
    </row>
    <row r="127" spans="11:12" x14ac:dyDescent="0.35">
      <c r="K127" s="2" t="s">
        <v>187</v>
      </c>
      <c r="L127">
        <v>45.537100000000002</v>
      </c>
    </row>
    <row r="128" spans="11:12" x14ac:dyDescent="0.35">
      <c r="K128" s="2" t="s">
        <v>78</v>
      </c>
      <c r="L128">
        <v>46.376800000000003</v>
      </c>
    </row>
    <row r="129" spans="11:12" x14ac:dyDescent="0.35">
      <c r="K129" s="2" t="s">
        <v>145</v>
      </c>
      <c r="L129">
        <v>53.846200000000003</v>
      </c>
    </row>
    <row r="130" spans="11:12" x14ac:dyDescent="0.35">
      <c r="K130" s="2" t="s">
        <v>37</v>
      </c>
      <c r="L130">
        <v>46.827300000000001</v>
      </c>
    </row>
    <row r="131" spans="11:12" x14ac:dyDescent="0.35">
      <c r="K131" s="2" t="s">
        <v>98</v>
      </c>
      <c r="L131">
        <v>48.191000000000003</v>
      </c>
    </row>
    <row r="132" spans="11:12" x14ac:dyDescent="0.35">
      <c r="K132" s="2" t="s">
        <v>111</v>
      </c>
      <c r="L132">
        <v>43.137300000000003</v>
      </c>
    </row>
    <row r="133" spans="11:12" x14ac:dyDescent="0.35">
      <c r="K133" s="2" t="s">
        <v>128</v>
      </c>
      <c r="L133">
        <v>47.9452</v>
      </c>
    </row>
    <row r="134" spans="11:12" x14ac:dyDescent="0.35">
      <c r="K134" s="2" t="s">
        <v>121</v>
      </c>
      <c r="L134">
        <v>52.295900000000003</v>
      </c>
    </row>
    <row r="135" spans="11:12" x14ac:dyDescent="0.35">
      <c r="K135" s="2" t="s">
        <v>126</v>
      </c>
      <c r="L135">
        <v>48.4848</v>
      </c>
    </row>
    <row r="136" spans="11:12" x14ac:dyDescent="0.35">
      <c r="K136" s="2" t="s">
        <v>110</v>
      </c>
      <c r="L136">
        <v>50.416699999999999</v>
      </c>
    </row>
    <row r="137" spans="11:12" x14ac:dyDescent="0.35">
      <c r="K137" s="2" t="s">
        <v>157</v>
      </c>
      <c r="L137">
        <v>63.636400000000002</v>
      </c>
    </row>
    <row r="138" spans="11:12" x14ac:dyDescent="0.35">
      <c r="K138" s="2" t="s">
        <v>53</v>
      </c>
      <c r="L138">
        <v>46.218499999999999</v>
      </c>
    </row>
    <row r="139" spans="11:12" x14ac:dyDescent="0.35">
      <c r="K139" s="2" t="s">
        <v>156</v>
      </c>
      <c r="L139">
        <v>52.040799999999997</v>
      </c>
    </row>
    <row r="140" spans="11:12" x14ac:dyDescent="0.35">
      <c r="K140" s="2" t="s">
        <v>97</v>
      </c>
      <c r="L140">
        <v>46.954799999999999</v>
      </c>
    </row>
    <row r="141" spans="11:12" x14ac:dyDescent="0.35">
      <c r="K141" s="2" t="s">
        <v>84</v>
      </c>
      <c r="L141">
        <v>44.241300000000003</v>
      </c>
    </row>
    <row r="142" spans="11:12" x14ac:dyDescent="0.35">
      <c r="K142" s="2" t="s">
        <v>133</v>
      </c>
      <c r="L142">
        <v>33.333300000000001</v>
      </c>
    </row>
    <row r="143" spans="11:12" x14ac:dyDescent="0.35">
      <c r="K143" s="2" t="s">
        <v>96</v>
      </c>
      <c r="L143">
        <v>53.791499999999999</v>
      </c>
    </row>
    <row r="144" spans="11:12" x14ac:dyDescent="0.35">
      <c r="K144" s="2" t="s">
        <v>68</v>
      </c>
      <c r="L144">
        <v>53.0075</v>
      </c>
    </row>
    <row r="145" spans="11:12" x14ac:dyDescent="0.35">
      <c r="K145" s="2" t="s">
        <v>104</v>
      </c>
      <c r="L145">
        <v>45.824800000000003</v>
      </c>
    </row>
    <row r="146" spans="11:12" x14ac:dyDescent="0.35">
      <c r="K146" s="2" t="s">
        <v>83</v>
      </c>
      <c r="L146">
        <v>46.5261</v>
      </c>
    </row>
    <row r="147" spans="11:12" x14ac:dyDescent="0.35">
      <c r="K147" s="2" t="s">
        <v>138</v>
      </c>
      <c r="L147">
        <v>43.689300000000003</v>
      </c>
    </row>
    <row r="148" spans="11:12" x14ac:dyDescent="0.35">
      <c r="K148" s="2" t="s">
        <v>109</v>
      </c>
      <c r="L148">
        <v>61.980800000000002</v>
      </c>
    </row>
    <row r="149" spans="11:12" x14ac:dyDescent="0.35">
      <c r="K149" s="2" t="s">
        <v>67</v>
      </c>
      <c r="L149">
        <v>53.378399999999999</v>
      </c>
    </row>
    <row r="150" spans="11:12" x14ac:dyDescent="0.35">
      <c r="K150" s="2" t="s">
        <v>141</v>
      </c>
      <c r="L150">
        <v>48.441600000000001</v>
      </c>
    </row>
    <row r="151" spans="11:12" x14ac:dyDescent="0.35">
      <c r="K151" s="2" t="s">
        <v>50</v>
      </c>
      <c r="L151">
        <v>48.581600000000002</v>
      </c>
    </row>
    <row r="152" spans="11:12" x14ac:dyDescent="0.35">
      <c r="K152" s="2" t="s">
        <v>77</v>
      </c>
      <c r="L152">
        <v>55</v>
      </c>
    </row>
    <row r="153" spans="11:12" x14ac:dyDescent="0.35">
      <c r="K153" s="2" t="s">
        <v>125</v>
      </c>
      <c r="L153">
        <v>56.042299999999997</v>
      </c>
    </row>
    <row r="154" spans="11:12" x14ac:dyDescent="0.35">
      <c r="K154" s="2" t="s">
        <v>147</v>
      </c>
      <c r="L154">
        <v>50.470199999999998</v>
      </c>
    </row>
    <row r="155" spans="11:12" x14ac:dyDescent="0.35">
      <c r="K155" s="2" t="s">
        <v>155</v>
      </c>
      <c r="L155">
        <v>57.1235</v>
      </c>
    </row>
    <row r="156" spans="11:12" x14ac:dyDescent="0.35">
      <c r="K156" s="2" t="s">
        <v>103</v>
      </c>
      <c r="L156">
        <v>45.082000000000001</v>
      </c>
    </row>
    <row r="157" spans="11:12" x14ac:dyDescent="0.35">
      <c r="K157" s="2" t="s">
        <v>38</v>
      </c>
      <c r="L157">
        <v>50.355699999999999</v>
      </c>
    </row>
    <row r="158" spans="11:12" x14ac:dyDescent="0.35">
      <c r="K158" s="2" t="s">
        <v>95</v>
      </c>
      <c r="L158">
        <v>43.043500000000002</v>
      </c>
    </row>
    <row r="159" spans="11:12" x14ac:dyDescent="0.35">
      <c r="K159" s="2" t="s">
        <v>52</v>
      </c>
      <c r="L159">
        <v>54.094799999999999</v>
      </c>
    </row>
    <row r="160" spans="11:12" x14ac:dyDescent="0.35">
      <c r="K160" s="2" t="s">
        <v>117</v>
      </c>
      <c r="L160">
        <v>58.123800000000003</v>
      </c>
    </row>
    <row r="161" spans="11:12" x14ac:dyDescent="0.35">
      <c r="K161" s="2" t="s">
        <v>184</v>
      </c>
      <c r="L161">
        <v>46.731400000000001</v>
      </c>
    </row>
    <row r="162" spans="11:12" x14ac:dyDescent="0.35">
      <c r="K162" s="2" t="s">
        <v>76</v>
      </c>
      <c r="L162">
        <v>52.677</v>
      </c>
    </row>
    <row r="163" spans="11:12" x14ac:dyDescent="0.35">
      <c r="K163" s="2" t="s">
        <v>188</v>
      </c>
      <c r="L163">
        <v>46.006900000000002</v>
      </c>
    </row>
    <row r="164" spans="11:12" x14ac:dyDescent="0.35">
      <c r="K164" s="2" t="s">
        <v>154</v>
      </c>
      <c r="L164">
        <v>48.7395</v>
      </c>
    </row>
    <row r="165" spans="11:12" x14ac:dyDescent="0.35">
      <c r="K165" s="2" t="s">
        <v>185</v>
      </c>
      <c r="L165">
        <v>54.577500000000001</v>
      </c>
    </row>
    <row r="166" spans="11:12" x14ac:dyDescent="0.35">
      <c r="K166" s="2" t="s">
        <v>94</v>
      </c>
      <c r="L166">
        <v>47.049900000000001</v>
      </c>
    </row>
    <row r="167" spans="11:12" x14ac:dyDescent="0.35">
      <c r="K167" s="2" t="s">
        <v>137</v>
      </c>
      <c r="L167">
        <v>50.566899999999997</v>
      </c>
    </row>
    <row r="168" spans="11:12" x14ac:dyDescent="0.35">
      <c r="K168" s="2" t="s">
        <v>146</v>
      </c>
      <c r="L168">
        <v>58.974400000000003</v>
      </c>
    </row>
    <row r="169" spans="11:12" x14ac:dyDescent="0.35">
      <c r="K169" s="2" t="s">
        <v>120</v>
      </c>
      <c r="L169">
        <v>50.697699999999998</v>
      </c>
    </row>
    <row r="170" spans="11:12" x14ac:dyDescent="0.35">
      <c r="K170" s="2" t="s">
        <v>153</v>
      </c>
      <c r="L170">
        <v>60.020800000000001</v>
      </c>
    </row>
    <row r="171" spans="11:12" x14ac:dyDescent="0.35">
      <c r="K171" s="2" t="s">
        <v>93</v>
      </c>
      <c r="L171">
        <v>48.601399999999998</v>
      </c>
    </row>
    <row r="172" spans="11:12" x14ac:dyDescent="0.35">
      <c r="K172" s="2" t="s">
        <v>56</v>
      </c>
      <c r="L172">
        <v>53.168999999999997</v>
      </c>
    </row>
    <row r="173" spans="11:12" x14ac:dyDescent="0.35">
      <c r="K173" s="2" t="s">
        <v>66</v>
      </c>
      <c r="L173">
        <v>54.247700000000002</v>
      </c>
    </row>
    <row r="174" spans="11:12" x14ac:dyDescent="0.35">
      <c r="K174" s="2" t="s">
        <v>152</v>
      </c>
      <c r="L174">
        <v>61.927700000000002</v>
      </c>
    </row>
    <row r="175" spans="11:12" x14ac:dyDescent="0.35">
      <c r="K175" s="2" t="s">
        <v>151</v>
      </c>
      <c r="L175">
        <v>56.530200000000001</v>
      </c>
    </row>
    <row r="176" spans="11:12" x14ac:dyDescent="0.35">
      <c r="K176" s="2" t="s">
        <v>43</v>
      </c>
      <c r="L176">
        <v>51.026400000000002</v>
      </c>
    </row>
    <row r="177" spans="11:12" x14ac:dyDescent="0.35">
      <c r="K177" s="2" t="s">
        <v>130</v>
      </c>
      <c r="L177">
        <v>43.625500000000002</v>
      </c>
    </row>
    <row r="178" spans="11:12" x14ac:dyDescent="0.35">
      <c r="K178" s="2" t="s">
        <v>51</v>
      </c>
      <c r="L178">
        <v>44.736800000000002</v>
      </c>
    </row>
    <row r="179" spans="11:12" x14ac:dyDescent="0.35">
      <c r="K179" s="2" t="s">
        <v>115</v>
      </c>
      <c r="L179">
        <v>50.749499999999998</v>
      </c>
    </row>
    <row r="180" spans="11:12" x14ac:dyDescent="0.35">
      <c r="K180" s="2" t="s">
        <v>47</v>
      </c>
      <c r="L180">
        <v>43.333300000000001</v>
      </c>
    </row>
    <row r="181" spans="11:12" x14ac:dyDescent="0.35">
      <c r="K181" s="2" t="s">
        <v>150</v>
      </c>
      <c r="L181">
        <v>64.379099999999994</v>
      </c>
    </row>
    <row r="182" spans="11:12" x14ac:dyDescent="0.35">
      <c r="K182" s="2" t="s">
        <v>131</v>
      </c>
      <c r="L182">
        <v>39.893599999999999</v>
      </c>
    </row>
    <row r="183" spans="11:12" x14ac:dyDescent="0.35">
      <c r="K183" s="2" t="s">
        <v>92</v>
      </c>
      <c r="L183">
        <v>48.7654</v>
      </c>
    </row>
    <row r="184" spans="11:12" x14ac:dyDescent="0.35">
      <c r="K184" s="2" t="s">
        <v>45</v>
      </c>
      <c r="L184">
        <v>44.360900000000001</v>
      </c>
    </row>
    <row r="185" spans="11:12" x14ac:dyDescent="0.35">
      <c r="K185" s="2" t="s">
        <v>108</v>
      </c>
      <c r="L185">
        <v>43.703699999999998</v>
      </c>
    </row>
    <row r="186" spans="11:12" x14ac:dyDescent="0.35">
      <c r="K186" s="2" t="s">
        <v>34</v>
      </c>
      <c r="L186">
        <v>49.273400000000002</v>
      </c>
    </row>
    <row r="187" spans="11:12" x14ac:dyDescent="0.35">
      <c r="K187" s="2" t="s">
        <v>107</v>
      </c>
      <c r="L187">
        <v>55.462200000000003</v>
      </c>
    </row>
    <row r="188" spans="11:12" x14ac:dyDescent="0.35">
      <c r="K188" s="2" t="s">
        <v>65</v>
      </c>
      <c r="L188">
        <v>52.631599999999999</v>
      </c>
    </row>
    <row r="189" spans="11:12" x14ac:dyDescent="0.35">
      <c r="K189" s="2" t="s">
        <v>40</v>
      </c>
      <c r="L189">
        <v>43.3718</v>
      </c>
    </row>
    <row r="190" spans="11:12" x14ac:dyDescent="0.35">
      <c r="K190" s="2" t="s">
        <v>186</v>
      </c>
      <c r="L190">
        <v>46.666699999999999</v>
      </c>
    </row>
    <row r="191" spans="11:12" x14ac:dyDescent="0.35">
      <c r="K191" s="2" t="s">
        <v>222</v>
      </c>
    </row>
    <row r="192" spans="11:12" x14ac:dyDescent="0.35">
      <c r="K192" s="2" t="s">
        <v>221</v>
      </c>
      <c r="L192">
        <v>7843.2165999999979</v>
      </c>
    </row>
    <row r="195" spans="2:8" ht="32.5" customHeight="1" x14ac:dyDescent="0.35">
      <c r="B195" s="17" t="s">
        <v>229</v>
      </c>
      <c r="C195" s="19"/>
      <c r="D195" s="19"/>
      <c r="E195" s="19"/>
      <c r="F195" s="19"/>
      <c r="G195" s="19"/>
      <c r="H195" s="19"/>
    </row>
    <row r="196" spans="2:8" ht="28" customHeight="1" x14ac:dyDescent="0.35">
      <c r="B196" s="19"/>
      <c r="C196" s="19"/>
      <c r="D196" s="19"/>
      <c r="E196" s="19"/>
      <c r="F196" s="19"/>
      <c r="G196" s="19"/>
      <c r="H196" s="19"/>
    </row>
    <row r="199" spans="2:8" ht="18.5" x14ac:dyDescent="0.45">
      <c r="B199" s="16" t="s">
        <v>230</v>
      </c>
      <c r="C199" s="16" t="s">
        <v>231</v>
      </c>
      <c r="D199" s="16" t="s">
        <v>232</v>
      </c>
    </row>
    <row r="200" spans="2:8" x14ac:dyDescent="0.35">
      <c r="B200" t="str" cm="1">
        <f t="array" ref="B200:B353">C_area_comparison_B02a!C2:C155</f>
        <v>England</v>
      </c>
      <c r="C200" cm="1">
        <f t="array" ref="C200:C353">C_area_comparison_B02a!H2:H155</f>
        <v>51.257100000000001</v>
      </c>
      <c r="D200">
        <f>_xlfn.XLOOKUP(Analysis_sheet!B200,C_area_comparison_B01b!C:C,C_area_comparison_B01b!F:F)</f>
        <v>19.8</v>
      </c>
    </row>
    <row r="201" spans="2:8" x14ac:dyDescent="0.35">
      <c r="B201" t="str">
        <v>City of London</v>
      </c>
      <c r="C201">
        <v>100</v>
      </c>
      <c r="D201">
        <f>_xlfn.XLOOKUP(Analysis_sheet!B201,C_area_comparison_B01b!C:C,C_area_comparison_B01b!F:F)</f>
        <v>6.9</v>
      </c>
    </row>
    <row r="202" spans="2:8" x14ac:dyDescent="0.35">
      <c r="B202" t="str">
        <v>Hackney</v>
      </c>
      <c r="C202">
        <v>65.905799999999999</v>
      </c>
      <c r="D202">
        <f>_xlfn.XLOOKUP(Analysis_sheet!B202,C_area_comparison_B01b!C:C,C_area_comparison_B01b!F:F)</f>
        <v>21.2</v>
      </c>
    </row>
    <row r="203" spans="2:8" x14ac:dyDescent="0.35">
      <c r="B203" t="str">
        <v>Westminster</v>
      </c>
      <c r="C203">
        <v>64.379099999999994</v>
      </c>
      <c r="D203">
        <f>_xlfn.XLOOKUP(Analysis_sheet!B203,C_area_comparison_B01b!C:C,C_area_comparison_B01b!F:F)</f>
        <v>12.7</v>
      </c>
    </row>
    <row r="204" spans="2:8" x14ac:dyDescent="0.35">
      <c r="B204" t="str">
        <v>Newham</v>
      </c>
      <c r="C204">
        <v>64.182400000000001</v>
      </c>
      <c r="D204">
        <f>_xlfn.XLOOKUP(Analysis_sheet!B204,C_area_comparison_B01b!C:C,C_area_comparison_B01b!F:F)</f>
        <v>23</v>
      </c>
    </row>
    <row r="205" spans="2:8" x14ac:dyDescent="0.35">
      <c r="B205" t="str">
        <v>Redbridge</v>
      </c>
      <c r="C205">
        <v>63.636400000000002</v>
      </c>
      <c r="D205">
        <f>_xlfn.XLOOKUP(Analysis_sheet!B205,C_area_comparison_B01b!C:C,C_area_comparison_B01b!F:F)</f>
        <v>16.600000000000001</v>
      </c>
    </row>
    <row r="206" spans="2:8" x14ac:dyDescent="0.35">
      <c r="B206" t="str">
        <v>Camden</v>
      </c>
      <c r="C206">
        <v>63.145499999999998</v>
      </c>
      <c r="D206">
        <f>_xlfn.XLOOKUP(Analysis_sheet!B206,C_area_comparison_B01b!C:C,C_area_comparison_B01b!F:F)</f>
        <v>16.399999999999999</v>
      </c>
    </row>
    <row r="207" spans="2:8" x14ac:dyDescent="0.35">
      <c r="B207" t="str">
        <v>Enfield</v>
      </c>
      <c r="C207">
        <v>62.331800000000001</v>
      </c>
      <c r="D207">
        <f>_xlfn.XLOOKUP(Analysis_sheet!B207,C_area_comparison_B01b!C:C,C_area_comparison_B01b!F:F)</f>
        <v>15.2</v>
      </c>
    </row>
    <row r="208" spans="2:8" x14ac:dyDescent="0.35">
      <c r="B208" t="str">
        <v>Slough</v>
      </c>
      <c r="C208">
        <v>61.980800000000002</v>
      </c>
      <c r="D208">
        <f>_xlfn.XLOOKUP(Analysis_sheet!B208,C_area_comparison_B01b!C:C,C_area_comparison_B01b!F:F)</f>
        <v>19.3</v>
      </c>
    </row>
    <row r="209" spans="2:4" x14ac:dyDescent="0.35">
      <c r="B209" t="str">
        <v>Waltham Forest</v>
      </c>
      <c r="C209">
        <v>61.927700000000002</v>
      </c>
      <c r="D209">
        <f>_xlfn.XLOOKUP(Analysis_sheet!B209,C_area_comparison_B01b!C:C,C_area_comparison_B01b!F:F)</f>
        <v>18.2</v>
      </c>
    </row>
    <row r="210" spans="2:4" x14ac:dyDescent="0.35">
      <c r="B210" t="str">
        <v>Brent</v>
      </c>
      <c r="C210">
        <v>61.283999999999999</v>
      </c>
      <c r="D210">
        <f>_xlfn.XLOOKUP(Analysis_sheet!B210,C_area_comparison_B01b!C:C,C_area_comparison_B01b!F:F)</f>
        <v>18.5</v>
      </c>
    </row>
    <row r="211" spans="2:4" x14ac:dyDescent="0.35">
      <c r="B211" t="str">
        <v>Greenwich</v>
      </c>
      <c r="C211">
        <v>61.021900000000002</v>
      </c>
      <c r="D211">
        <f>_xlfn.XLOOKUP(Analysis_sheet!B211,C_area_comparison_B01b!C:C,C_area_comparison_B01b!F:F)</f>
        <v>17.2</v>
      </c>
    </row>
    <row r="212" spans="2:4" x14ac:dyDescent="0.35">
      <c r="B212" t="str">
        <v>Haringey</v>
      </c>
      <c r="C212">
        <v>60.411900000000003</v>
      </c>
      <c r="D212">
        <f>_xlfn.XLOOKUP(Analysis_sheet!B212,C_area_comparison_B01b!C:C,C_area_comparison_B01b!F:F)</f>
        <v>16.5</v>
      </c>
    </row>
    <row r="213" spans="2:4" x14ac:dyDescent="0.35">
      <c r="B213" t="str">
        <v>Croydon</v>
      </c>
      <c r="C213">
        <v>60.216299999999997</v>
      </c>
      <c r="D213">
        <f>_xlfn.XLOOKUP(Analysis_sheet!B213,C_area_comparison_B01b!C:C,C_area_comparison_B01b!F:F)</f>
        <v>16.399999999999999</v>
      </c>
    </row>
    <row r="214" spans="2:4" x14ac:dyDescent="0.35">
      <c r="B214" t="str">
        <v>Tower Hamlets</v>
      </c>
      <c r="C214">
        <v>60.020800000000001</v>
      </c>
      <c r="D214">
        <f>_xlfn.XLOOKUP(Analysis_sheet!B214,C_area_comparison_B01b!C:C,C_area_comparison_B01b!F:F)</f>
        <v>26.7</v>
      </c>
    </row>
    <row r="215" spans="2:4" x14ac:dyDescent="0.35">
      <c r="B215" t="str">
        <v>Hammersmith and Fulham</v>
      </c>
      <c r="C215">
        <v>59.745800000000003</v>
      </c>
      <c r="D215">
        <f>_xlfn.XLOOKUP(Analysis_sheet!B215,C_area_comparison_B01b!C:C,C_area_comparison_B01b!F:F)</f>
        <v>12.9</v>
      </c>
    </row>
    <row r="216" spans="2:4" x14ac:dyDescent="0.35">
      <c r="B216" t="str">
        <v>Birmingham</v>
      </c>
      <c r="C216">
        <v>59.481099999999998</v>
      </c>
      <c r="D216">
        <f>_xlfn.XLOOKUP(Analysis_sheet!B216,C_area_comparison_B01b!C:C,C_area_comparison_B01b!F:F)</f>
        <v>39.5</v>
      </c>
    </row>
    <row r="217" spans="2:4" x14ac:dyDescent="0.35">
      <c r="B217" t="str">
        <v>Lambeth</v>
      </c>
      <c r="C217">
        <v>59.128999999999998</v>
      </c>
      <c r="D217">
        <f>_xlfn.XLOOKUP(Analysis_sheet!B217,C_area_comparison_B01b!C:C,C_area_comparison_B01b!F:F)</f>
        <v>17</v>
      </c>
    </row>
    <row r="218" spans="2:4" x14ac:dyDescent="0.35">
      <c r="B218" t="str">
        <v>Thurrock</v>
      </c>
      <c r="C218">
        <v>58.974400000000003</v>
      </c>
      <c r="D218">
        <f>_xlfn.XLOOKUP(Analysis_sheet!B218,C_area_comparison_B01b!C:C,C_area_comparison_B01b!F:F)</f>
        <v>18.399999999999999</v>
      </c>
    </row>
    <row r="219" spans="2:4" x14ac:dyDescent="0.35">
      <c r="B219" t="str">
        <v>Hillingdon</v>
      </c>
      <c r="C219">
        <v>58.134900000000002</v>
      </c>
      <c r="D219">
        <f>_xlfn.XLOOKUP(Analysis_sheet!B219,C_area_comparison_B01b!C:C,C_area_comparison_B01b!F:F)</f>
        <v>15.1</v>
      </c>
    </row>
    <row r="220" spans="2:4" x14ac:dyDescent="0.35">
      <c r="B220" t="str">
        <v>Stoke-on-Trent</v>
      </c>
      <c r="C220">
        <v>58.123800000000003</v>
      </c>
      <c r="D220">
        <f>_xlfn.XLOOKUP(Analysis_sheet!B220,C_area_comparison_B01b!C:C,C_area_comparison_B01b!F:F)</f>
        <v>35</v>
      </c>
    </row>
    <row r="221" spans="2:4" x14ac:dyDescent="0.35">
      <c r="B221" t="str">
        <v>Lewisham</v>
      </c>
      <c r="C221">
        <v>58.070500000000003</v>
      </c>
      <c r="D221">
        <f>_xlfn.XLOOKUP(Analysis_sheet!B221,C_area_comparison_B01b!C:C,C_area_comparison_B01b!F:F)</f>
        <v>15.5</v>
      </c>
    </row>
    <row r="222" spans="2:4" x14ac:dyDescent="0.35">
      <c r="B222" t="str">
        <v>Southwark</v>
      </c>
      <c r="C222">
        <v>57.1235</v>
      </c>
      <c r="D222">
        <f>_xlfn.XLOOKUP(Analysis_sheet!B222,C_area_comparison_B01b!C:C,C_area_comparison_B01b!F:F)</f>
        <v>18.399999999999999</v>
      </c>
    </row>
    <row r="223" spans="2:4" x14ac:dyDescent="0.35">
      <c r="B223" t="str">
        <v>Islington</v>
      </c>
      <c r="C223">
        <v>57.009300000000003</v>
      </c>
      <c r="D223">
        <f>_xlfn.XLOOKUP(Analysis_sheet!B223,C_area_comparison_B01b!C:C,C_area_comparison_B01b!F:F)</f>
        <v>19.399999999999999</v>
      </c>
    </row>
    <row r="224" spans="2:4" x14ac:dyDescent="0.35">
      <c r="B224" t="str">
        <v>Bexley</v>
      </c>
      <c r="C224">
        <v>56.901400000000002</v>
      </c>
      <c r="D224">
        <f>_xlfn.XLOOKUP(Analysis_sheet!B224,C_area_comparison_B01b!C:C,C_area_comparison_B01b!F:F)</f>
        <v>11.4</v>
      </c>
    </row>
    <row r="225" spans="2:4" x14ac:dyDescent="0.35">
      <c r="B225" t="str">
        <v>Wandsworth</v>
      </c>
      <c r="C225">
        <v>56.530200000000001</v>
      </c>
      <c r="D225">
        <f>_xlfn.XLOOKUP(Analysis_sheet!B225,C_area_comparison_B01b!C:C,C_area_comparison_B01b!F:F)</f>
        <v>12.6</v>
      </c>
    </row>
    <row r="226" spans="2:4" x14ac:dyDescent="0.35">
      <c r="B226" t="str">
        <v>Kingston upon Hull</v>
      </c>
      <c r="C226">
        <v>56.13</v>
      </c>
      <c r="D226">
        <f>_xlfn.XLOOKUP(Analysis_sheet!B226,C_area_comparison_B01b!C:C,C_area_comparison_B01b!F:F)</f>
        <v>33.200000000000003</v>
      </c>
    </row>
    <row r="227" spans="2:4" x14ac:dyDescent="0.35">
      <c r="B227" t="str">
        <v>Southampton</v>
      </c>
      <c r="C227">
        <v>56.042299999999997</v>
      </c>
      <c r="D227">
        <f>_xlfn.XLOOKUP(Analysis_sheet!B227,C_area_comparison_B01b!C:C,C_area_comparison_B01b!F:F)</f>
        <v>21.8</v>
      </c>
    </row>
    <row r="228" spans="2:4" x14ac:dyDescent="0.35">
      <c r="B228" t="str">
        <v>Barnsley</v>
      </c>
      <c r="C228">
        <v>55.974800000000002</v>
      </c>
      <c r="D228">
        <f>_xlfn.XLOOKUP(Analysis_sheet!B228,C_area_comparison_B01b!C:C,C_area_comparison_B01b!F:F)</f>
        <v>28.2</v>
      </c>
    </row>
    <row r="229" spans="2:4" x14ac:dyDescent="0.35">
      <c r="B229" t="str">
        <v>Kensington and Chelsea</v>
      </c>
      <c r="C229">
        <v>55.814</v>
      </c>
      <c r="D229">
        <f>_xlfn.XLOOKUP(Analysis_sheet!B229,C_area_comparison_B01b!C:C,C_area_comparison_B01b!F:F)</f>
        <v>8</v>
      </c>
    </row>
    <row r="230" spans="2:4" x14ac:dyDescent="0.35">
      <c r="B230" t="str">
        <v>Havering</v>
      </c>
      <c r="C230">
        <v>55.6995</v>
      </c>
      <c r="D230">
        <f>_xlfn.XLOOKUP(Analysis_sheet!B230,C_area_comparison_B01b!C:C,C_area_comparison_B01b!F:F)</f>
        <v>13.2</v>
      </c>
    </row>
    <row r="231" spans="2:4" x14ac:dyDescent="0.35">
      <c r="B231" t="str">
        <v>Barking and Dagenham</v>
      </c>
      <c r="C231">
        <v>55.6845</v>
      </c>
      <c r="D231">
        <f>_xlfn.XLOOKUP(Analysis_sheet!B231,C_area_comparison_B01b!C:C,C_area_comparison_B01b!F:F)</f>
        <v>23</v>
      </c>
    </row>
    <row r="232" spans="2:4" x14ac:dyDescent="0.35">
      <c r="B232" t="str">
        <v>Ealing</v>
      </c>
      <c r="C232">
        <v>55.555599999999998</v>
      </c>
      <c r="D232">
        <f>_xlfn.XLOOKUP(Analysis_sheet!B232,C_area_comparison_B01b!C:C,C_area_comparison_B01b!F:F)</f>
        <v>15.7</v>
      </c>
    </row>
    <row r="233" spans="2:4" x14ac:dyDescent="0.35">
      <c r="B233" t="str">
        <v>Wokingham</v>
      </c>
      <c r="C233">
        <v>55.462200000000003</v>
      </c>
      <c r="D233">
        <f>_xlfn.XLOOKUP(Analysis_sheet!B233,C_area_comparison_B01b!C:C,C_area_comparison_B01b!F:F)</f>
        <v>6.4</v>
      </c>
    </row>
    <row r="234" spans="2:4" x14ac:dyDescent="0.35">
      <c r="B234" t="str">
        <v>Hounslow</v>
      </c>
      <c r="C234">
        <v>55.0914</v>
      </c>
      <c r="D234">
        <f>_xlfn.XLOOKUP(Analysis_sheet!B234,C_area_comparison_B01b!C:C,C_area_comparison_B01b!F:F)</f>
        <v>16.5</v>
      </c>
    </row>
    <row r="235" spans="2:4" x14ac:dyDescent="0.35">
      <c r="B235" t="str">
        <v>South Tyneside</v>
      </c>
      <c r="C235">
        <v>55</v>
      </c>
      <c r="D235">
        <f>_xlfn.XLOOKUP(Analysis_sheet!B235,C_area_comparison_B01b!C:C,C_area_comparison_B01b!F:F)</f>
        <v>26.5</v>
      </c>
    </row>
    <row r="236" spans="2:4" x14ac:dyDescent="0.35">
      <c r="B236" t="str">
        <v>Barnet</v>
      </c>
      <c r="C236">
        <v>55</v>
      </c>
      <c r="D236">
        <f>_xlfn.XLOOKUP(Analysis_sheet!B236,C_area_comparison_B01b!C:C,C_area_comparison_B01b!F:F)</f>
        <v>11.2</v>
      </c>
    </row>
    <row r="237" spans="2:4" x14ac:dyDescent="0.35">
      <c r="B237" t="str">
        <v>North East Lincolnshire</v>
      </c>
      <c r="C237">
        <v>54.615400000000001</v>
      </c>
      <c r="D237">
        <f>_xlfn.XLOOKUP(Analysis_sheet!B237,C_area_comparison_B01b!C:C,C_area_comparison_B01b!F:F)</f>
        <v>30.8</v>
      </c>
    </row>
    <row r="238" spans="2:4" x14ac:dyDescent="0.35">
      <c r="B238" t="str">
        <v>Swindon</v>
      </c>
      <c r="C238">
        <v>54.577500000000001</v>
      </c>
      <c r="D238">
        <f>_xlfn.XLOOKUP(Analysis_sheet!B238,C_area_comparison_B01b!C:C,C_area_comparison_B01b!F:F)</f>
        <v>16</v>
      </c>
    </row>
    <row r="239" spans="2:4" x14ac:dyDescent="0.35">
      <c r="B239" t="str">
        <v>Leicester</v>
      </c>
      <c r="C239">
        <v>54.505800000000001</v>
      </c>
      <c r="D239">
        <f>_xlfn.XLOOKUP(Analysis_sheet!B239,C_area_comparison_B01b!C:C,C_area_comparison_B01b!F:F)</f>
        <v>34.5</v>
      </c>
    </row>
    <row r="240" spans="2:4" x14ac:dyDescent="0.35">
      <c r="B240" t="str">
        <v>Walsall</v>
      </c>
      <c r="C240">
        <v>54.247700000000002</v>
      </c>
      <c r="D240">
        <f>_xlfn.XLOOKUP(Analysis_sheet!B240,C_area_comparison_B01b!C:C,C_area_comparison_B01b!F:F)</f>
        <v>32.799999999999997</v>
      </c>
    </row>
    <row r="241" spans="2:4" x14ac:dyDescent="0.35">
      <c r="B241" t="str">
        <v>Stockton-on-Tees</v>
      </c>
      <c r="C241">
        <v>54.094799999999999</v>
      </c>
      <c r="D241">
        <f>_xlfn.XLOOKUP(Analysis_sheet!B241,C_area_comparison_B01b!C:C,C_area_comparison_B01b!F:F)</f>
        <v>22.3</v>
      </c>
    </row>
    <row r="242" spans="2:4" x14ac:dyDescent="0.35">
      <c r="B242" t="str">
        <v>Milton Keynes</v>
      </c>
      <c r="C242">
        <v>54.021000000000001</v>
      </c>
      <c r="D242">
        <f>_xlfn.XLOOKUP(Analysis_sheet!B242,C_area_comparison_B01b!C:C,C_area_comparison_B01b!F:F)</f>
        <v>15.3</v>
      </c>
    </row>
    <row r="243" spans="2:4" x14ac:dyDescent="0.35">
      <c r="B243" t="str">
        <v>Nottingham</v>
      </c>
      <c r="C243">
        <v>53.846200000000003</v>
      </c>
      <c r="D243">
        <f>_xlfn.XLOOKUP(Analysis_sheet!B243,C_area_comparison_B01b!C:C,C_area_comparison_B01b!F:F)</f>
        <v>33.700000000000003</v>
      </c>
    </row>
    <row r="244" spans="2:4" x14ac:dyDescent="0.35">
      <c r="B244" t="str">
        <v>Bournemouth, Christchurch and Poole</v>
      </c>
      <c r="C244">
        <v>53.829300000000003</v>
      </c>
      <c r="D244">
        <f>_xlfn.XLOOKUP(Analysis_sheet!B244,C_area_comparison_B01b!C:C,C_area_comparison_B01b!F:F)</f>
        <v>14.5</v>
      </c>
    </row>
    <row r="245" spans="2:4" x14ac:dyDescent="0.35">
      <c r="B245" t="str">
        <v>Salford</v>
      </c>
      <c r="C245">
        <v>53.791499999999999</v>
      </c>
      <c r="D245">
        <f>_xlfn.XLOOKUP(Analysis_sheet!B245,C_area_comparison_B01b!C:C,C_area_comparison_B01b!F:F)</f>
        <v>25.4</v>
      </c>
    </row>
    <row r="246" spans="2:4" x14ac:dyDescent="0.35">
      <c r="B246" t="str">
        <v>Merton</v>
      </c>
      <c r="C246">
        <v>53.6145</v>
      </c>
      <c r="D246">
        <f>_xlfn.XLOOKUP(Analysis_sheet!B246,C_area_comparison_B01b!C:C,C_area_comparison_B01b!F:F)</f>
        <v>11.6</v>
      </c>
    </row>
    <row r="247" spans="2:4" x14ac:dyDescent="0.35">
      <c r="B247" t="str">
        <v>Isle of Wight</v>
      </c>
      <c r="C247">
        <v>53.543300000000002</v>
      </c>
      <c r="D247">
        <f>_xlfn.XLOOKUP(Analysis_sheet!B247,C_area_comparison_B01b!C:C,C_area_comparison_B01b!F:F)</f>
        <v>23.5</v>
      </c>
    </row>
    <row r="248" spans="2:4" x14ac:dyDescent="0.35">
      <c r="B248" t="str">
        <v>Doncaster</v>
      </c>
      <c r="C248">
        <v>53.507599999999996</v>
      </c>
      <c r="D248">
        <f>_xlfn.XLOOKUP(Analysis_sheet!B248,C_area_comparison_B01b!C:C,C_area_comparison_B01b!F:F)</f>
        <v>31</v>
      </c>
    </row>
    <row r="249" spans="2:4" x14ac:dyDescent="0.35">
      <c r="B249" t="str">
        <v>Middlesbrough</v>
      </c>
      <c r="C249">
        <v>53.472200000000001</v>
      </c>
      <c r="D249">
        <f>_xlfn.XLOOKUP(Analysis_sheet!B249,C_area_comparison_B01b!C:C,C_area_comparison_B01b!F:F)</f>
        <v>34.4</v>
      </c>
    </row>
    <row r="250" spans="2:4" x14ac:dyDescent="0.35">
      <c r="B250" t="str">
        <v>Solihull</v>
      </c>
      <c r="C250">
        <v>53.378399999999999</v>
      </c>
      <c r="D250">
        <f>_xlfn.XLOOKUP(Analysis_sheet!B250,C_area_comparison_B01b!C:C,C_area_comparison_B01b!F:F)</f>
        <v>15.2</v>
      </c>
    </row>
    <row r="251" spans="2:4" x14ac:dyDescent="0.35">
      <c r="B251" t="str">
        <v>Medway</v>
      </c>
      <c r="C251">
        <v>53.172199999999997</v>
      </c>
      <c r="D251">
        <f>_xlfn.XLOOKUP(Analysis_sheet!B251,C_area_comparison_B01b!C:C,C_area_comparison_B01b!F:F)</f>
        <v>17.399999999999999</v>
      </c>
    </row>
    <row r="252" spans="2:4" x14ac:dyDescent="0.35">
      <c r="B252" t="str">
        <v>Wakefield</v>
      </c>
      <c r="C252">
        <v>53.168999999999997</v>
      </c>
      <c r="D252">
        <f>_xlfn.XLOOKUP(Analysis_sheet!B252,C_area_comparison_B01b!C:C,C_area_comparison_B01b!F:F)</f>
        <v>23</v>
      </c>
    </row>
    <row r="253" spans="2:4" x14ac:dyDescent="0.35">
      <c r="B253" t="str">
        <v>Manchester</v>
      </c>
      <c r="C253">
        <v>53.0854</v>
      </c>
      <c r="D253">
        <f>_xlfn.XLOOKUP(Analysis_sheet!B253,C_area_comparison_B01b!C:C,C_area_comparison_B01b!F:F)</f>
        <v>35.5</v>
      </c>
    </row>
    <row r="254" spans="2:4" x14ac:dyDescent="0.35">
      <c r="B254" t="str">
        <v>Sandwell</v>
      </c>
      <c r="C254">
        <v>53.0075</v>
      </c>
      <c r="D254">
        <f>_xlfn.XLOOKUP(Analysis_sheet!B254,C_area_comparison_B01b!C:C,C_area_comparison_B01b!F:F)</f>
        <v>35.5</v>
      </c>
    </row>
    <row r="255" spans="2:4" x14ac:dyDescent="0.35">
      <c r="B255" t="str">
        <v>Sunderland</v>
      </c>
      <c r="C255">
        <v>52.677</v>
      </c>
      <c r="D255">
        <f>_xlfn.XLOOKUP(Analysis_sheet!B255,C_area_comparison_B01b!C:C,C_area_comparison_B01b!F:F)</f>
        <v>25.7</v>
      </c>
    </row>
    <row r="256" spans="2:4" x14ac:dyDescent="0.35">
      <c r="B256" t="str">
        <v>Wolverhampton</v>
      </c>
      <c r="C256">
        <v>52.631599999999999</v>
      </c>
      <c r="D256">
        <f>_xlfn.XLOOKUP(Analysis_sheet!B256,C_area_comparison_B01b!C:C,C_area_comparison_B01b!F:F)</f>
        <v>32.9</v>
      </c>
    </row>
    <row r="257" spans="2:4" x14ac:dyDescent="0.35">
      <c r="B257" t="str">
        <v>Luton</v>
      </c>
      <c r="C257">
        <v>52.553199999999997</v>
      </c>
      <c r="D257">
        <f>_xlfn.XLOOKUP(Analysis_sheet!B257,C_area_comparison_B01b!C:C,C_area_comparison_B01b!F:F)</f>
        <v>31.7</v>
      </c>
    </row>
    <row r="258" spans="2:4" x14ac:dyDescent="0.35">
      <c r="B258" t="str">
        <v>Knowsley</v>
      </c>
      <c r="C258">
        <v>52.4</v>
      </c>
      <c r="D258">
        <f>_xlfn.XLOOKUP(Analysis_sheet!B258,C_area_comparison_B01b!C:C,C_area_comparison_B01b!F:F)</f>
        <v>24.5</v>
      </c>
    </row>
    <row r="259" spans="2:4" x14ac:dyDescent="0.35">
      <c r="B259" t="str">
        <v>Bromley</v>
      </c>
      <c r="C259">
        <v>52.339199999999998</v>
      </c>
      <c r="D259">
        <f>_xlfn.XLOOKUP(Analysis_sheet!B259,C_area_comparison_B01b!C:C,C_area_comparison_B01b!F:F)</f>
        <v>8.1999999999999993</v>
      </c>
    </row>
    <row r="260" spans="2:4" x14ac:dyDescent="0.35">
      <c r="B260" t="str">
        <v>Blackpool</v>
      </c>
      <c r="C260">
        <v>52.300199999999997</v>
      </c>
      <c r="D260">
        <f>_xlfn.XLOOKUP(Analysis_sheet!B260,C_area_comparison_B01b!C:C,C_area_comparison_B01b!F:F)</f>
        <v>30.5</v>
      </c>
    </row>
    <row r="261" spans="2:4" x14ac:dyDescent="0.35">
      <c r="B261" t="str">
        <v>Plymouth</v>
      </c>
      <c r="C261">
        <v>52.295900000000003</v>
      </c>
      <c r="D261">
        <f>_xlfn.XLOOKUP(Analysis_sheet!B261,C_area_comparison_B01b!C:C,C_area_comparison_B01b!F:F)</f>
        <v>20.7</v>
      </c>
    </row>
    <row r="262" spans="2:4" x14ac:dyDescent="0.35">
      <c r="B262" t="str">
        <v>Hartlepool</v>
      </c>
      <c r="C262">
        <v>52.215200000000003</v>
      </c>
      <c r="D262">
        <f>_xlfn.XLOOKUP(Analysis_sheet!B262,C_area_comparison_B01b!C:C,C_area_comparison_B01b!F:F)</f>
        <v>27.2</v>
      </c>
    </row>
    <row r="263" spans="2:4" x14ac:dyDescent="0.35">
      <c r="B263" t="str">
        <v>Derby</v>
      </c>
      <c r="C263">
        <v>52.068100000000001</v>
      </c>
      <c r="D263">
        <f>_xlfn.XLOOKUP(Analysis_sheet!B263,C_area_comparison_B01b!C:C,C_area_comparison_B01b!F:F)</f>
        <v>27.9</v>
      </c>
    </row>
    <row r="264" spans="2:4" x14ac:dyDescent="0.35">
      <c r="B264" t="str">
        <v>Richmond upon Thames</v>
      </c>
      <c r="C264">
        <v>52.040799999999997</v>
      </c>
      <c r="D264">
        <f>_xlfn.XLOOKUP(Analysis_sheet!B264,C_area_comparison_B01b!C:C,C_area_comparison_B01b!F:F)</f>
        <v>5.2</v>
      </c>
    </row>
    <row r="265" spans="2:4" x14ac:dyDescent="0.35">
      <c r="B265" t="str">
        <v>Bolton</v>
      </c>
      <c r="C265">
        <v>51.704500000000003</v>
      </c>
      <c r="D265">
        <f>_xlfn.XLOOKUP(Analysis_sheet!B265,C_area_comparison_B01b!C:C,C_area_comparison_B01b!F:F)</f>
        <v>33.200000000000003</v>
      </c>
    </row>
    <row r="266" spans="2:4" x14ac:dyDescent="0.35">
      <c r="B266" t="str">
        <v>Herefordshire</v>
      </c>
      <c r="C266">
        <v>51.658799999999999</v>
      </c>
      <c r="D266">
        <f>_xlfn.XLOOKUP(Analysis_sheet!B266,C_area_comparison_B01b!C:C,C_area_comparison_B01b!F:F)</f>
        <v>19.8</v>
      </c>
    </row>
    <row r="267" spans="2:4" x14ac:dyDescent="0.35">
      <c r="B267" t="str">
        <v>Newcastle upon Tyne</v>
      </c>
      <c r="C267">
        <v>51.542900000000003</v>
      </c>
      <c r="D267">
        <f>_xlfn.XLOOKUP(Analysis_sheet!B267,C_area_comparison_B01b!C:C,C_area_comparison_B01b!F:F)</f>
        <v>26.7</v>
      </c>
    </row>
    <row r="268" spans="2:4" x14ac:dyDescent="0.35">
      <c r="B268" t="str">
        <v>Halton</v>
      </c>
      <c r="C268">
        <v>51.5152</v>
      </c>
      <c r="D268">
        <f>_xlfn.XLOOKUP(Analysis_sheet!B268,C_area_comparison_B01b!C:C,C_area_comparison_B01b!F:F)</f>
        <v>23</v>
      </c>
    </row>
    <row r="269" spans="2:4" x14ac:dyDescent="0.35">
      <c r="B269" t="str">
        <v>Cornwall</v>
      </c>
      <c r="C269">
        <v>51.502099999999999</v>
      </c>
      <c r="D269">
        <f>_xlfn.XLOOKUP(Analysis_sheet!B269,C_area_comparison_B01b!C:C,C_area_comparison_B01b!F:F)</f>
        <v>21.4</v>
      </c>
    </row>
    <row r="270" spans="2:4" x14ac:dyDescent="0.35">
      <c r="B270" t="str">
        <v>Warrington</v>
      </c>
      <c r="C270">
        <v>51.026400000000002</v>
      </c>
      <c r="D270">
        <f>_xlfn.XLOOKUP(Analysis_sheet!B270,C_area_comparison_B01b!C:C,C_area_comparison_B01b!F:F)</f>
        <v>15.1</v>
      </c>
    </row>
    <row r="271" spans="2:4" x14ac:dyDescent="0.35">
      <c r="B271" t="str">
        <v>Liverpool</v>
      </c>
      <c r="C271">
        <v>51.007899999999999</v>
      </c>
      <c r="D271">
        <f>_xlfn.XLOOKUP(Analysis_sheet!B271,C_area_comparison_B01b!C:C,C_area_comparison_B01b!F:F)</f>
        <v>29.6</v>
      </c>
    </row>
    <row r="272" spans="2:4" x14ac:dyDescent="0.35">
      <c r="B272" t="str">
        <v>Bury</v>
      </c>
      <c r="C272">
        <v>50.915799999999997</v>
      </c>
      <c r="D272">
        <f>_xlfn.XLOOKUP(Analysis_sheet!B272,C_area_comparison_B01b!C:C,C_area_comparison_B01b!F:F)</f>
        <v>25.5</v>
      </c>
    </row>
    <row r="273" spans="2:4" x14ac:dyDescent="0.35">
      <c r="B273" t="str">
        <v>West Northamptonshire</v>
      </c>
      <c r="C273">
        <v>50.749499999999998</v>
      </c>
      <c r="D273">
        <f>_xlfn.XLOOKUP(Analysis_sheet!B273,C_area_comparison_B01b!C:C,C_area_comparison_B01b!F:F)</f>
        <v>16.8</v>
      </c>
    </row>
    <row r="274" spans="2:4" x14ac:dyDescent="0.35">
      <c r="B274" t="str">
        <v>Torbay</v>
      </c>
      <c r="C274">
        <v>50.697699999999998</v>
      </c>
      <c r="D274">
        <f>_xlfn.XLOOKUP(Analysis_sheet!B274,C_area_comparison_B01b!C:C,C_area_comparison_B01b!F:F)</f>
        <v>21</v>
      </c>
    </row>
    <row r="275" spans="2:4" x14ac:dyDescent="0.35">
      <c r="B275" t="str">
        <v>Kent</v>
      </c>
      <c r="C275">
        <v>50.670099999999998</v>
      </c>
      <c r="D275">
        <f>_xlfn.XLOOKUP(Analysis_sheet!B275,C_area_comparison_B01b!C:C,C_area_comparison_B01b!F:F)</f>
        <v>15.3</v>
      </c>
    </row>
    <row r="276" spans="2:4" x14ac:dyDescent="0.35">
      <c r="B276" t="str">
        <v>Telford and Wrekin</v>
      </c>
      <c r="C276">
        <v>50.566899999999997</v>
      </c>
      <c r="D276">
        <f>_xlfn.XLOOKUP(Analysis_sheet!B276,C_area_comparison_B01b!C:C,C_area_comparison_B01b!F:F)</f>
        <v>24.8</v>
      </c>
    </row>
    <row r="277" spans="2:4" x14ac:dyDescent="0.35">
      <c r="B277" t="str">
        <v>Coventry</v>
      </c>
      <c r="C277">
        <v>50.540500000000002</v>
      </c>
      <c r="D277">
        <f>_xlfn.XLOOKUP(Analysis_sheet!B277,C_area_comparison_B01b!C:C,C_area_comparison_B01b!F:F)</f>
        <v>25.5</v>
      </c>
    </row>
    <row r="278" spans="2:4" x14ac:dyDescent="0.35">
      <c r="B278" t="str">
        <v>Kirklees</v>
      </c>
      <c r="C278">
        <v>50.488999999999997</v>
      </c>
      <c r="D278">
        <f>_xlfn.XLOOKUP(Analysis_sheet!B278,C_area_comparison_B01b!C:C,C_area_comparison_B01b!F:F)</f>
        <v>30.3</v>
      </c>
    </row>
    <row r="279" spans="2:4" x14ac:dyDescent="0.35">
      <c r="B279" t="str">
        <v>Southend-on-Sea</v>
      </c>
      <c r="C279">
        <v>50.470199999999998</v>
      </c>
      <c r="D279">
        <f>_xlfn.XLOOKUP(Analysis_sheet!B279,C_area_comparison_B01b!C:C,C_area_comparison_B01b!F:F)</f>
        <v>17.7</v>
      </c>
    </row>
    <row r="280" spans="2:4" x14ac:dyDescent="0.35">
      <c r="B280" t="str">
        <v>Reading</v>
      </c>
      <c r="C280">
        <v>50.416699999999999</v>
      </c>
      <c r="D280">
        <f>_xlfn.XLOOKUP(Analysis_sheet!B280,C_area_comparison_B01b!C:C,C_area_comparison_B01b!F:F)</f>
        <v>14.9</v>
      </c>
    </row>
    <row r="281" spans="2:4" x14ac:dyDescent="0.35">
      <c r="B281" t="str">
        <v>Staffordshire</v>
      </c>
      <c r="C281">
        <v>50.355699999999999</v>
      </c>
      <c r="D281">
        <f>_xlfn.XLOOKUP(Analysis_sheet!B281,C_area_comparison_B01b!C:C,C_area_comparison_B01b!F:F)</f>
        <v>19.100000000000001</v>
      </c>
    </row>
    <row r="282" spans="2:4" x14ac:dyDescent="0.35">
      <c r="B282" t="str">
        <v>Bradford</v>
      </c>
      <c r="C282">
        <v>50.351500000000001</v>
      </c>
      <c r="D282">
        <f>_xlfn.XLOOKUP(Analysis_sheet!B282,C_area_comparison_B01b!C:C,C_area_comparison_B01b!F:F)</f>
        <v>39.299999999999997</v>
      </c>
    </row>
    <row r="283" spans="2:4" x14ac:dyDescent="0.35">
      <c r="B283" t="str">
        <v>Essex</v>
      </c>
      <c r="C283">
        <v>50.330300000000001</v>
      </c>
      <c r="D283">
        <f>_xlfn.XLOOKUP(Analysis_sheet!B283,C_area_comparison_B01b!C:C,C_area_comparison_B01b!F:F)</f>
        <v>14.4</v>
      </c>
    </row>
    <row r="284" spans="2:4" x14ac:dyDescent="0.35">
      <c r="B284" t="str">
        <v>Hampshire</v>
      </c>
      <c r="C284">
        <v>50.240299999999998</v>
      </c>
      <c r="D284">
        <f>_xlfn.XLOOKUP(Analysis_sheet!B284,C_area_comparison_B01b!C:C,C_area_comparison_B01b!F:F)</f>
        <v>11.3</v>
      </c>
    </row>
    <row r="285" spans="2:4" x14ac:dyDescent="0.35">
      <c r="B285" t="str">
        <v>East Sussex</v>
      </c>
      <c r="C285">
        <v>50.059899999999999</v>
      </c>
      <c r="D285">
        <f>_xlfn.XLOOKUP(Analysis_sheet!B285,C_area_comparison_B01b!C:C,C_area_comparison_B01b!F:F)</f>
        <v>16.7</v>
      </c>
    </row>
    <row r="286" spans="2:4" x14ac:dyDescent="0.35">
      <c r="B286" t="str">
        <v>Lincolnshire</v>
      </c>
      <c r="C286">
        <v>50</v>
      </c>
      <c r="D286">
        <f>_xlfn.XLOOKUP(Analysis_sheet!B286,C_area_comparison_B01b!C:C,C_area_comparison_B01b!F:F)</f>
        <v>22</v>
      </c>
    </row>
    <row r="287" spans="2:4" x14ac:dyDescent="0.35">
      <c r="B287" t="str">
        <v>Kingston upon Thames</v>
      </c>
      <c r="C287">
        <v>49.710999999999999</v>
      </c>
      <c r="D287">
        <f>_xlfn.XLOOKUP(Analysis_sheet!B287,C_area_comparison_B01b!C:C,C_area_comparison_B01b!F:F)</f>
        <v>8</v>
      </c>
    </row>
    <row r="288" spans="2:4" x14ac:dyDescent="0.35">
      <c r="B288" t="str">
        <v>North Lincolnshire</v>
      </c>
      <c r="C288">
        <v>49.693300000000001</v>
      </c>
      <c r="D288">
        <f>_xlfn.XLOOKUP(Analysis_sheet!B288,C_area_comparison_B01b!C:C,C_area_comparison_B01b!F:F)</f>
        <v>25.5</v>
      </c>
    </row>
    <row r="289" spans="2:4" x14ac:dyDescent="0.35">
      <c r="B289" t="str">
        <v>Blackburn with Darwen</v>
      </c>
      <c r="C289">
        <v>49.520800000000001</v>
      </c>
      <c r="D289">
        <f>_xlfn.XLOOKUP(Analysis_sheet!B289,C_area_comparison_B01b!C:C,C_area_comparison_B01b!F:F)</f>
        <v>36.200000000000003</v>
      </c>
    </row>
    <row r="290" spans="2:4" x14ac:dyDescent="0.35">
      <c r="B290" t="str">
        <v>Wirral</v>
      </c>
      <c r="C290">
        <v>49.273400000000002</v>
      </c>
      <c r="D290">
        <f>_xlfn.XLOOKUP(Analysis_sheet!B290,C_area_comparison_B01b!C:C,C_area_comparison_B01b!F:F)</f>
        <v>20</v>
      </c>
    </row>
    <row r="291" spans="2:4" x14ac:dyDescent="0.35">
      <c r="B291" t="str">
        <v>Bristol</v>
      </c>
      <c r="C291">
        <v>49.005200000000002</v>
      </c>
      <c r="D291">
        <f>_xlfn.XLOOKUP(Analysis_sheet!B291,C_area_comparison_B01b!C:C,C_area_comparison_B01b!F:F)</f>
        <v>19.7</v>
      </c>
    </row>
    <row r="292" spans="2:4" x14ac:dyDescent="0.35">
      <c r="B292" t="str">
        <v>Wigan</v>
      </c>
      <c r="C292">
        <v>48.7654</v>
      </c>
      <c r="D292">
        <f>_xlfn.XLOOKUP(Analysis_sheet!B292,C_area_comparison_B01b!C:C,C_area_comparison_B01b!F:F)</f>
        <v>21.4</v>
      </c>
    </row>
    <row r="293" spans="2:4" x14ac:dyDescent="0.35">
      <c r="B293" t="str">
        <v>Sutton</v>
      </c>
      <c r="C293">
        <v>48.7395</v>
      </c>
      <c r="D293">
        <f>_xlfn.XLOOKUP(Analysis_sheet!B293,C_area_comparison_B01b!C:C,C_area_comparison_B01b!F:F)</f>
        <v>10.4</v>
      </c>
    </row>
    <row r="294" spans="2:4" x14ac:dyDescent="0.35">
      <c r="B294" t="str">
        <v>Harrow</v>
      </c>
      <c r="C294">
        <v>48.736499999999999</v>
      </c>
      <c r="D294">
        <f>_xlfn.XLOOKUP(Analysis_sheet!B294,C_area_comparison_B01b!C:C,C_area_comparison_B01b!F:F)</f>
        <v>14</v>
      </c>
    </row>
    <row r="295" spans="2:4" x14ac:dyDescent="0.35">
      <c r="B295" t="str">
        <v>Trafford</v>
      </c>
      <c r="C295">
        <v>48.601399999999998</v>
      </c>
      <c r="D295">
        <f>_xlfn.XLOOKUP(Analysis_sheet!B295,C_area_comparison_B01b!C:C,C_area_comparison_B01b!F:F)</f>
        <v>12.3</v>
      </c>
    </row>
    <row r="296" spans="2:4" x14ac:dyDescent="0.35">
      <c r="B296" t="str">
        <v>South Gloucestershire</v>
      </c>
      <c r="C296">
        <v>48.581600000000002</v>
      </c>
      <c r="D296">
        <f>_xlfn.XLOOKUP(Analysis_sheet!B296,C_area_comparison_B01b!C:C,C_area_comparison_B01b!F:F)</f>
        <v>11.2</v>
      </c>
    </row>
    <row r="297" spans="2:4" x14ac:dyDescent="0.35">
      <c r="B297" t="str">
        <v>Portsmouth</v>
      </c>
      <c r="C297">
        <v>48.4848</v>
      </c>
      <c r="D297">
        <f>_xlfn.XLOOKUP(Analysis_sheet!B297,C_area_comparison_B01b!C:C,C_area_comparison_B01b!F:F)</f>
        <v>20.7</v>
      </c>
    </row>
    <row r="298" spans="2:4" x14ac:dyDescent="0.35">
      <c r="B298" t="str">
        <v>Somerset UA</v>
      </c>
      <c r="C298">
        <v>48.441600000000001</v>
      </c>
      <c r="D298">
        <f>_xlfn.XLOOKUP(Analysis_sheet!B298,C_area_comparison_B01b!C:C,C_area_comparison_B01b!F:F)</f>
        <v>17.3</v>
      </c>
    </row>
    <row r="299" spans="2:4" x14ac:dyDescent="0.35">
      <c r="B299" t="str">
        <v>Gloucestershire</v>
      </c>
      <c r="C299">
        <v>48.333300000000001</v>
      </c>
      <c r="D299">
        <f>_xlfn.XLOOKUP(Analysis_sheet!B299,C_area_comparison_B01b!C:C,C_area_comparison_B01b!F:F)</f>
        <v>15.1</v>
      </c>
    </row>
    <row r="300" spans="2:4" x14ac:dyDescent="0.35">
      <c r="B300" t="str">
        <v>Oldham</v>
      </c>
      <c r="C300">
        <v>48.191000000000003</v>
      </c>
      <c r="D300">
        <f>_xlfn.XLOOKUP(Analysis_sheet!B300,C_area_comparison_B01b!C:C,C_area_comparison_B01b!F:F)</f>
        <v>38.200000000000003</v>
      </c>
    </row>
    <row r="301" spans="2:4" x14ac:dyDescent="0.35">
      <c r="B301" t="str">
        <v>Peterborough</v>
      </c>
      <c r="C301">
        <v>47.9452</v>
      </c>
      <c r="D301">
        <f>_xlfn.XLOOKUP(Analysis_sheet!B301,C_area_comparison_B01b!C:C,C_area_comparison_B01b!F:F)</f>
        <v>27.6</v>
      </c>
    </row>
    <row r="302" spans="2:4" x14ac:dyDescent="0.35">
      <c r="B302" t="str">
        <v>North Northamptonshire</v>
      </c>
      <c r="C302">
        <v>47.858499999999999</v>
      </c>
      <c r="D302">
        <f>_xlfn.XLOOKUP(Analysis_sheet!B302,C_area_comparison_B01b!C:C,C_area_comparison_B01b!F:F)</f>
        <v>18.899999999999999</v>
      </c>
    </row>
    <row r="303" spans="2:4" x14ac:dyDescent="0.35">
      <c r="B303" t="str">
        <v>Dudley</v>
      </c>
      <c r="C303">
        <v>47.478299999999997</v>
      </c>
      <c r="D303">
        <f>_xlfn.XLOOKUP(Analysis_sheet!B303,C_area_comparison_B01b!C:C,C_area_comparison_B01b!F:F)</f>
        <v>28</v>
      </c>
    </row>
    <row r="304" spans="2:4" x14ac:dyDescent="0.35">
      <c r="B304" t="str">
        <v>Bedford</v>
      </c>
      <c r="C304">
        <v>47.452199999999998</v>
      </c>
      <c r="D304">
        <f>_xlfn.XLOOKUP(Analysis_sheet!B304,C_area_comparison_B01b!C:C,C_area_comparison_B01b!F:F)</f>
        <v>17.8</v>
      </c>
    </row>
    <row r="305" spans="2:4" x14ac:dyDescent="0.35">
      <c r="B305" t="str">
        <v>Brighton and Hove</v>
      </c>
      <c r="C305">
        <v>47.344099999999997</v>
      </c>
      <c r="D305">
        <f>_xlfn.XLOOKUP(Analysis_sheet!B305,C_area_comparison_B01b!C:C,C_area_comparison_B01b!F:F)</f>
        <v>13.8</v>
      </c>
    </row>
    <row r="306" spans="2:4" x14ac:dyDescent="0.35">
      <c r="B306" t="str">
        <v>Gateshead</v>
      </c>
      <c r="C306">
        <v>47.117800000000003</v>
      </c>
      <c r="D306">
        <f>_xlfn.XLOOKUP(Analysis_sheet!B306,C_area_comparison_B01b!C:C,C_area_comparison_B01b!F:F)</f>
        <v>24</v>
      </c>
    </row>
    <row r="307" spans="2:4" x14ac:dyDescent="0.35">
      <c r="B307" t="str">
        <v>Derbyshire</v>
      </c>
      <c r="C307">
        <v>47.096800000000002</v>
      </c>
      <c r="D307">
        <f>_xlfn.XLOOKUP(Analysis_sheet!B307,C_area_comparison_B01b!C:C,C_area_comparison_B01b!F:F)</f>
        <v>18.5</v>
      </c>
    </row>
    <row r="308" spans="2:4" x14ac:dyDescent="0.35">
      <c r="B308" t="str">
        <v>Tameside</v>
      </c>
      <c r="C308">
        <v>47.049900000000001</v>
      </c>
      <c r="D308">
        <f>_xlfn.XLOOKUP(Analysis_sheet!B308,C_area_comparison_B01b!C:C,C_area_comparison_B01b!F:F)</f>
        <v>27</v>
      </c>
    </row>
    <row r="309" spans="2:4" x14ac:dyDescent="0.35">
      <c r="B309" t="str">
        <v>Buckinghamshire UA</v>
      </c>
      <c r="C309">
        <v>46.955100000000002</v>
      </c>
      <c r="D309">
        <f>_xlfn.XLOOKUP(Analysis_sheet!B309,C_area_comparison_B01b!C:C,C_area_comparison_B01b!F:F)</f>
        <v>11</v>
      </c>
    </row>
    <row r="310" spans="2:4" x14ac:dyDescent="0.35">
      <c r="B310" t="str">
        <v>Rochdale</v>
      </c>
      <c r="C310">
        <v>46.954799999999999</v>
      </c>
      <c r="D310">
        <f>_xlfn.XLOOKUP(Analysis_sheet!B310,C_area_comparison_B01b!C:C,C_area_comparison_B01b!F:F)</f>
        <v>32</v>
      </c>
    </row>
    <row r="311" spans="2:4" x14ac:dyDescent="0.35">
      <c r="B311" t="str">
        <v>Nottinghamshire</v>
      </c>
      <c r="C311">
        <v>46.827300000000001</v>
      </c>
      <c r="D311">
        <f>_xlfn.XLOOKUP(Analysis_sheet!B311,C_area_comparison_B01b!C:C,C_area_comparison_B01b!F:F)</f>
        <v>19.5</v>
      </c>
    </row>
    <row r="312" spans="2:4" x14ac:dyDescent="0.35">
      <c r="B312" t="str">
        <v>Suffolk</v>
      </c>
      <c r="C312">
        <v>46.731400000000001</v>
      </c>
      <c r="D312">
        <f>_xlfn.XLOOKUP(Analysis_sheet!B312,C_area_comparison_B01b!C:C,C_area_comparison_B01b!F:F)</f>
        <v>18</v>
      </c>
    </row>
    <row r="313" spans="2:4" x14ac:dyDescent="0.35">
      <c r="B313" t="str">
        <v>York</v>
      </c>
      <c r="C313">
        <v>46.666699999999999</v>
      </c>
      <c r="D313">
        <f>_xlfn.XLOOKUP(Analysis_sheet!B313,C_area_comparison_B01b!C:C,C_area_comparison_B01b!F:F)</f>
        <v>13.9</v>
      </c>
    </row>
    <row r="314" spans="2:4" x14ac:dyDescent="0.35">
      <c r="B314" t="str">
        <v>Sheffield</v>
      </c>
      <c r="C314">
        <v>46.5261</v>
      </c>
      <c r="D314">
        <f>_xlfn.XLOOKUP(Analysis_sheet!B314,C_area_comparison_B01b!C:C,C_area_comparison_B01b!F:F)</f>
        <v>28.5</v>
      </c>
    </row>
    <row r="315" spans="2:4" x14ac:dyDescent="0.35">
      <c r="B315" t="str">
        <v>Northumberland</v>
      </c>
      <c r="C315">
        <v>46.376800000000003</v>
      </c>
      <c r="D315">
        <f>_xlfn.XLOOKUP(Analysis_sheet!B315,C_area_comparison_B01b!C:C,C_area_comparison_B01b!F:F)</f>
        <v>21.1</v>
      </c>
    </row>
    <row r="316" spans="2:4" x14ac:dyDescent="0.35">
      <c r="B316" t="str">
        <v>Devon</v>
      </c>
      <c r="C316">
        <v>46.311500000000002</v>
      </c>
      <c r="D316">
        <f>_xlfn.XLOOKUP(Analysis_sheet!B316,C_area_comparison_B01b!C:C,C_area_comparison_B01b!F:F)</f>
        <v>16.8</v>
      </c>
    </row>
    <row r="317" spans="2:4" x14ac:dyDescent="0.35">
      <c r="B317" t="str">
        <v>Redcar and Cleveland</v>
      </c>
      <c r="C317">
        <v>46.218499999999999</v>
      </c>
      <c r="D317">
        <f>_xlfn.XLOOKUP(Analysis_sheet!B317,C_area_comparison_B01b!C:C,C_area_comparison_B01b!F:F)</f>
        <v>26.2</v>
      </c>
    </row>
    <row r="318" spans="2:4" x14ac:dyDescent="0.35">
      <c r="B318" t="str">
        <v>Leicestershire</v>
      </c>
      <c r="C318">
        <v>46.134300000000003</v>
      </c>
      <c r="D318">
        <f>_xlfn.XLOOKUP(Analysis_sheet!B318,C_area_comparison_B01b!C:C,C_area_comparison_B01b!F:F)</f>
        <v>15.2</v>
      </c>
    </row>
    <row r="319" spans="2:4" x14ac:dyDescent="0.35">
      <c r="B319" t="str">
        <v>Norfolk</v>
      </c>
      <c r="C319">
        <v>46.045699999999997</v>
      </c>
      <c r="D319">
        <f>_xlfn.XLOOKUP(Analysis_sheet!B319,C_area_comparison_B01b!C:C,C_area_comparison_B01b!F:F)</f>
        <v>19.8</v>
      </c>
    </row>
    <row r="320" spans="2:4" x14ac:dyDescent="0.35">
      <c r="B320" t="str">
        <v>County Durham</v>
      </c>
      <c r="C320">
        <v>46.010800000000003</v>
      </c>
      <c r="D320">
        <f>_xlfn.XLOOKUP(Analysis_sheet!B320,C_area_comparison_B01b!C:C,C_area_comparison_B01b!F:F)</f>
        <v>26</v>
      </c>
    </row>
    <row r="321" spans="2:4" x14ac:dyDescent="0.35">
      <c r="B321" t="str">
        <v>Surrey</v>
      </c>
      <c r="C321">
        <v>46.006900000000002</v>
      </c>
      <c r="D321">
        <f>_xlfn.XLOOKUP(Analysis_sheet!B321,C_area_comparison_B01b!C:C,C_area_comparison_B01b!F:F)</f>
        <v>8.3000000000000007</v>
      </c>
    </row>
    <row r="322" spans="2:4" x14ac:dyDescent="0.35">
      <c r="B322" t="str">
        <v>Lancashire</v>
      </c>
      <c r="C322">
        <v>46.005499999999998</v>
      </c>
      <c r="D322">
        <f>_xlfn.XLOOKUP(Analysis_sheet!B322,C_area_comparison_B01b!C:C,C_area_comparison_B01b!F:F)</f>
        <v>24.9</v>
      </c>
    </row>
    <row r="323" spans="2:4" x14ac:dyDescent="0.35">
      <c r="B323" t="str">
        <v>Leeds</v>
      </c>
      <c r="C323">
        <v>45.826900000000002</v>
      </c>
      <c r="D323">
        <f>_xlfn.XLOOKUP(Analysis_sheet!B323,C_area_comparison_B01b!C:C,C_area_comparison_B01b!F:F)</f>
        <v>25</v>
      </c>
    </row>
    <row r="324" spans="2:4" x14ac:dyDescent="0.35">
      <c r="B324" t="str">
        <v>Sefton</v>
      </c>
      <c r="C324">
        <v>45.824800000000003</v>
      </c>
      <c r="D324">
        <f>_xlfn.XLOOKUP(Analysis_sheet!B324,C_area_comparison_B01b!C:C,C_area_comparison_B01b!F:F)</f>
        <v>19.8</v>
      </c>
    </row>
    <row r="325" spans="2:4" x14ac:dyDescent="0.35">
      <c r="B325" t="str">
        <v>East Riding of Yorkshire</v>
      </c>
      <c r="C325">
        <v>45.821300000000001</v>
      </c>
      <c r="D325">
        <f>_xlfn.XLOOKUP(Analysis_sheet!B325,C_area_comparison_B01b!C:C,C_area_comparison_B01b!F:F)</f>
        <v>18</v>
      </c>
    </row>
    <row r="326" spans="2:4" x14ac:dyDescent="0.35">
      <c r="B326" t="str">
        <v>North Yorkshire UA</v>
      </c>
      <c r="C326">
        <v>45.537100000000002</v>
      </c>
      <c r="D326">
        <f>_xlfn.XLOOKUP(Analysis_sheet!B326,C_area_comparison_B01b!C:C,C_area_comparison_B01b!F:F)</f>
        <v>14.7</v>
      </c>
    </row>
    <row r="327" spans="2:4" x14ac:dyDescent="0.35">
      <c r="B327" t="str">
        <v>Cumberland</v>
      </c>
      <c r="C327">
        <v>45.382599999999996</v>
      </c>
      <c r="D327">
        <f>_xlfn.XLOOKUP(Analysis_sheet!B327,C_area_comparison_B01b!C:C,C_area_comparison_B01b!F:F)</f>
        <v>19.100000000000001</v>
      </c>
    </row>
    <row r="328" spans="2:4" x14ac:dyDescent="0.35">
      <c r="B328" t="str">
        <v>North Tyneside</v>
      </c>
      <c r="C328">
        <v>45.238100000000003</v>
      </c>
      <c r="D328">
        <f>_xlfn.XLOOKUP(Analysis_sheet!B328,C_area_comparison_B01b!C:C,C_area_comparison_B01b!F:F)</f>
        <v>19.2</v>
      </c>
    </row>
    <row r="329" spans="2:4" x14ac:dyDescent="0.35">
      <c r="B329" t="str">
        <v>St. Helens</v>
      </c>
      <c r="C329">
        <v>45.082000000000001</v>
      </c>
      <c r="D329">
        <f>_xlfn.XLOOKUP(Analysis_sheet!B329,C_area_comparison_B01b!C:C,C_area_comparison_B01b!F:F)</f>
        <v>21.5</v>
      </c>
    </row>
    <row r="330" spans="2:4" x14ac:dyDescent="0.35">
      <c r="B330" t="str">
        <v>Cambridgeshire</v>
      </c>
      <c r="C330">
        <v>45.069000000000003</v>
      </c>
      <c r="D330">
        <f>_xlfn.XLOOKUP(Analysis_sheet!B330,C_area_comparison_B01b!C:C,C_area_comparison_B01b!F:F)</f>
        <v>12.6</v>
      </c>
    </row>
    <row r="331" spans="2:4" x14ac:dyDescent="0.35">
      <c r="B331" t="str">
        <v>Cheshire West and Chester</v>
      </c>
      <c r="C331">
        <v>45.045000000000002</v>
      </c>
      <c r="D331">
        <f>_xlfn.XLOOKUP(Analysis_sheet!B331,C_area_comparison_B01b!C:C,C_area_comparison_B01b!F:F)</f>
        <v>15.1</v>
      </c>
    </row>
    <row r="332" spans="2:4" x14ac:dyDescent="0.35">
      <c r="B332" t="str">
        <v>Dorset</v>
      </c>
      <c r="C332">
        <v>45.031100000000002</v>
      </c>
      <c r="D332">
        <f>_xlfn.XLOOKUP(Analysis_sheet!B332,C_area_comparison_B01b!C:C,C_area_comparison_B01b!F:F)</f>
        <v>15.5</v>
      </c>
    </row>
    <row r="333" spans="2:4" x14ac:dyDescent="0.35">
      <c r="B333" t="str">
        <v>North Somerset</v>
      </c>
      <c r="C333">
        <v>44.886400000000002</v>
      </c>
      <c r="D333">
        <f>_xlfn.XLOOKUP(Analysis_sheet!B333,C_area_comparison_B01b!C:C,C_area_comparison_B01b!F:F)</f>
        <v>12.3</v>
      </c>
    </row>
    <row r="334" spans="2:4" x14ac:dyDescent="0.35">
      <c r="B334" t="str">
        <v>Darlington</v>
      </c>
      <c r="C334">
        <v>44.748899999999999</v>
      </c>
      <c r="D334">
        <f>_xlfn.XLOOKUP(Analysis_sheet!B334,C_area_comparison_B01b!C:C,C_area_comparison_B01b!F:F)</f>
        <v>24.8</v>
      </c>
    </row>
    <row r="335" spans="2:4" x14ac:dyDescent="0.35">
      <c r="B335" t="str">
        <v>West Berkshire</v>
      </c>
      <c r="C335">
        <v>44.736800000000002</v>
      </c>
      <c r="D335">
        <f>_xlfn.XLOOKUP(Analysis_sheet!B335,C_area_comparison_B01b!C:C,C_area_comparison_B01b!F:F)</f>
        <v>9.6</v>
      </c>
    </row>
    <row r="336" spans="2:4" x14ac:dyDescent="0.35">
      <c r="B336" t="str">
        <v>Calderdale</v>
      </c>
      <c r="C336">
        <v>44.469000000000001</v>
      </c>
      <c r="D336">
        <f>_xlfn.XLOOKUP(Analysis_sheet!B336,C_area_comparison_B01b!C:C,C_area_comparison_B01b!F:F)</f>
        <v>27.1</v>
      </c>
    </row>
    <row r="337" spans="2:4" x14ac:dyDescent="0.35">
      <c r="B337" t="str">
        <v>Wiltshire</v>
      </c>
      <c r="C337">
        <v>44.360900000000001</v>
      </c>
      <c r="D337">
        <f>_xlfn.XLOOKUP(Analysis_sheet!B337,C_area_comparison_B01b!C:C,C_area_comparison_B01b!F:F)</f>
        <v>13.1</v>
      </c>
    </row>
    <row r="338" spans="2:4" x14ac:dyDescent="0.35">
      <c r="B338" t="str">
        <v>Rotherham</v>
      </c>
      <c r="C338">
        <v>44.241300000000003</v>
      </c>
      <c r="D338">
        <f>_xlfn.XLOOKUP(Analysis_sheet!B338,C_area_comparison_B01b!C:C,C_area_comparison_B01b!F:F)</f>
        <v>27.3</v>
      </c>
    </row>
    <row r="339" spans="2:4" x14ac:dyDescent="0.35">
      <c r="B339" t="str">
        <v>Hertfordshire</v>
      </c>
      <c r="C339">
        <v>43.852200000000003</v>
      </c>
      <c r="D339">
        <f>_xlfn.XLOOKUP(Analysis_sheet!B339,C_area_comparison_B01b!C:C,C_area_comparison_B01b!F:F)</f>
        <v>10.9</v>
      </c>
    </row>
    <row r="340" spans="2:4" x14ac:dyDescent="0.35">
      <c r="B340" t="str">
        <v>Windsor and Maidenhead</v>
      </c>
      <c r="C340">
        <v>43.703699999999998</v>
      </c>
      <c r="D340">
        <f>_xlfn.XLOOKUP(Analysis_sheet!B340,C_area_comparison_B01b!C:C,C_area_comparison_B01b!F:F)</f>
        <v>7.7</v>
      </c>
    </row>
    <row r="341" spans="2:4" x14ac:dyDescent="0.35">
      <c r="B341" t="str">
        <v>Shropshire</v>
      </c>
      <c r="C341">
        <v>43.689300000000003</v>
      </c>
      <c r="D341">
        <f>_xlfn.XLOOKUP(Analysis_sheet!B341,C_area_comparison_B01b!C:C,C_area_comparison_B01b!F:F)</f>
        <v>18.8</v>
      </c>
    </row>
    <row r="342" spans="2:4" x14ac:dyDescent="0.35">
      <c r="B342" t="str">
        <v>Warwickshire</v>
      </c>
      <c r="C342">
        <v>43.625500000000002</v>
      </c>
      <c r="D342">
        <f>_xlfn.XLOOKUP(Analysis_sheet!B342,C_area_comparison_B01b!C:C,C_area_comparison_B01b!F:F)</f>
        <v>14.2</v>
      </c>
    </row>
    <row r="343" spans="2:4" x14ac:dyDescent="0.35">
      <c r="B343" t="str">
        <v>Central Bedfordshire</v>
      </c>
      <c r="C343">
        <v>43.445700000000002</v>
      </c>
      <c r="D343">
        <f>_xlfn.XLOOKUP(Analysis_sheet!B343,C_area_comparison_B01b!C:C,C_area_comparison_B01b!F:F)</f>
        <v>11.7</v>
      </c>
    </row>
    <row r="344" spans="2:4" x14ac:dyDescent="0.35">
      <c r="B344" t="str">
        <v>Worcestershire</v>
      </c>
      <c r="C344">
        <v>43.3718</v>
      </c>
      <c r="D344">
        <f>_xlfn.XLOOKUP(Analysis_sheet!B344,C_area_comparison_B01b!C:C,C_area_comparison_B01b!F:F)</f>
        <v>18</v>
      </c>
    </row>
    <row r="345" spans="2:4" x14ac:dyDescent="0.35">
      <c r="B345" t="str">
        <v>West Sussex</v>
      </c>
      <c r="C345">
        <v>43.333300000000001</v>
      </c>
      <c r="D345">
        <f>_xlfn.XLOOKUP(Analysis_sheet!B345,C_area_comparison_B01b!C:C,C_area_comparison_B01b!F:F)</f>
        <v>12.8</v>
      </c>
    </row>
    <row r="346" spans="2:4" x14ac:dyDescent="0.35">
      <c r="B346" t="str">
        <v>Bracknell Forest</v>
      </c>
      <c r="C346">
        <v>43.243200000000002</v>
      </c>
      <c r="D346">
        <f>_xlfn.XLOOKUP(Analysis_sheet!B346,C_area_comparison_B01b!C:C,C_area_comparison_B01b!F:F)</f>
        <v>8.5</v>
      </c>
    </row>
    <row r="347" spans="2:4" x14ac:dyDescent="0.35">
      <c r="B347" t="str">
        <v>Oxfordshire</v>
      </c>
      <c r="C347">
        <v>43.137300000000003</v>
      </c>
      <c r="D347">
        <f>_xlfn.XLOOKUP(Analysis_sheet!B347,C_area_comparison_B01b!C:C,C_area_comparison_B01b!F:F)</f>
        <v>10.4</v>
      </c>
    </row>
    <row r="348" spans="2:4" x14ac:dyDescent="0.35">
      <c r="B348" t="str">
        <v>Stockport</v>
      </c>
      <c r="C348">
        <v>43.043500000000002</v>
      </c>
      <c r="D348">
        <f>_xlfn.XLOOKUP(Analysis_sheet!B348,C_area_comparison_B01b!C:C,C_area_comparison_B01b!F:F)</f>
        <v>15.5</v>
      </c>
    </row>
    <row r="349" spans="2:4" x14ac:dyDescent="0.35">
      <c r="B349" t="str">
        <v>Cheshire East</v>
      </c>
      <c r="C349">
        <v>42.637999999999998</v>
      </c>
      <c r="D349">
        <f>_xlfn.XLOOKUP(Analysis_sheet!B349,C_area_comparison_B01b!C:C,C_area_comparison_B01b!F:F)</f>
        <v>13</v>
      </c>
    </row>
    <row r="350" spans="2:4" x14ac:dyDescent="0.35">
      <c r="B350" t="str">
        <v>Westmorland and Furness</v>
      </c>
      <c r="C350">
        <v>39.893599999999999</v>
      </c>
      <c r="D350">
        <f>_xlfn.XLOOKUP(Analysis_sheet!B350,C_area_comparison_B01b!C:C,C_area_comparison_B01b!F:F)</f>
        <v>15.7</v>
      </c>
    </row>
    <row r="351" spans="2:4" x14ac:dyDescent="0.35">
      <c r="B351" t="str">
        <v>Bath and North East Somerset</v>
      </c>
      <c r="C351">
        <v>38.219900000000003</v>
      </c>
      <c r="D351">
        <f>_xlfn.XLOOKUP(Analysis_sheet!B351,C_area_comparison_B01b!C:C,C_area_comparison_B01b!F:F)</f>
        <v>10.199999999999999</v>
      </c>
    </row>
    <row r="352" spans="2:4" x14ac:dyDescent="0.35">
      <c r="B352" t="str">
        <v>Rutland</v>
      </c>
      <c r="C352">
        <v>33.333300000000001</v>
      </c>
      <c r="D352">
        <f>_xlfn.XLOOKUP(Analysis_sheet!B352,C_area_comparison_B01b!C:C,C_area_comparison_B01b!F:F)</f>
        <v>11.5</v>
      </c>
    </row>
    <row r="353" spans="2:4" x14ac:dyDescent="0.35">
      <c r="B353" t="str">
        <v>Isles of Scilly</v>
      </c>
      <c r="C353">
        <v>0</v>
      </c>
      <c r="D353">
        <f>_xlfn.XLOOKUP(Analysis_sheet!B353,C_area_comparison_B01b!C:C,C_area_comparison_B01b!F:F)</f>
        <v>8.9</v>
      </c>
    </row>
  </sheetData>
  <mergeCells count="4">
    <mergeCell ref="B2:H3"/>
    <mergeCell ref="B28:H29"/>
    <mergeCell ref="B32:H33"/>
    <mergeCell ref="B195:H196"/>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CB87-93C4-4431-A97D-800914DA60ED}">
  <dimension ref="A1:P9"/>
  <sheetViews>
    <sheetView workbookViewId="0">
      <selection activeCell="B15" sqref="B15"/>
    </sheetView>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v>90632</v>
      </c>
      <c r="B2" t="s">
        <v>197</v>
      </c>
      <c r="C2" t="s">
        <v>22</v>
      </c>
      <c r="D2" t="s">
        <v>23</v>
      </c>
      <c r="E2" t="s">
        <v>23</v>
      </c>
      <c r="F2" t="s">
        <v>23</v>
      </c>
      <c r="G2" t="s">
        <v>24</v>
      </c>
      <c r="H2" t="s">
        <v>196</v>
      </c>
      <c r="I2" t="s">
        <v>26</v>
      </c>
      <c r="J2">
        <v>49.1</v>
      </c>
      <c r="K2">
        <v>48.83</v>
      </c>
      <c r="L2">
        <v>49.41</v>
      </c>
      <c r="M2">
        <v>48.67</v>
      </c>
      <c r="N2">
        <v>49.58</v>
      </c>
      <c r="O2">
        <v>55944</v>
      </c>
      <c r="P2">
        <v>113882</v>
      </c>
    </row>
    <row r="3" spans="1:16" x14ac:dyDescent="0.35">
      <c r="A3">
        <v>90632</v>
      </c>
      <c r="B3" t="s">
        <v>197</v>
      </c>
      <c r="C3" t="s">
        <v>22</v>
      </c>
      <c r="D3" t="s">
        <v>23</v>
      </c>
      <c r="E3" t="s">
        <v>28</v>
      </c>
      <c r="F3" t="s">
        <v>29</v>
      </c>
      <c r="G3" t="s">
        <v>24</v>
      </c>
      <c r="H3" t="s">
        <v>196</v>
      </c>
      <c r="I3" t="s">
        <v>26</v>
      </c>
      <c r="J3">
        <v>43.3</v>
      </c>
      <c r="K3">
        <v>38.97</v>
      </c>
      <c r="L3">
        <v>47.8</v>
      </c>
      <c r="M3">
        <v>36.54</v>
      </c>
      <c r="N3">
        <v>50.39</v>
      </c>
      <c r="O3">
        <v>208</v>
      </c>
      <c r="P3">
        <v>480</v>
      </c>
    </row>
    <row r="4" spans="1:16" x14ac:dyDescent="0.35">
      <c r="A4">
        <v>90632</v>
      </c>
      <c r="B4" t="s">
        <v>197</v>
      </c>
      <c r="E4" t="s">
        <v>23</v>
      </c>
      <c r="F4" t="s">
        <v>23</v>
      </c>
      <c r="G4" t="s">
        <v>24</v>
      </c>
      <c r="H4" t="s">
        <v>196</v>
      </c>
      <c r="I4" t="s">
        <v>30</v>
      </c>
      <c r="J4">
        <v>51.55</v>
      </c>
      <c r="K4">
        <v>51.25</v>
      </c>
      <c r="L4">
        <v>51.85</v>
      </c>
      <c r="M4">
        <v>51.08</v>
      </c>
      <c r="N4">
        <v>52.02</v>
      </c>
      <c r="O4">
        <v>56242</v>
      </c>
      <c r="P4">
        <v>109100</v>
      </c>
    </row>
    <row r="5" spans="1:16" x14ac:dyDescent="0.35">
      <c r="A5">
        <v>90632</v>
      </c>
      <c r="B5" t="s">
        <v>197</v>
      </c>
      <c r="C5" t="s">
        <v>22</v>
      </c>
      <c r="D5" t="s">
        <v>23</v>
      </c>
      <c r="E5" t="s">
        <v>28</v>
      </c>
      <c r="F5" t="s">
        <v>29</v>
      </c>
      <c r="G5" t="s">
        <v>24</v>
      </c>
      <c r="H5" t="s">
        <v>196</v>
      </c>
      <c r="I5" t="s">
        <v>30</v>
      </c>
      <c r="J5">
        <v>48.57</v>
      </c>
      <c r="K5">
        <v>44.32</v>
      </c>
      <c r="L5">
        <v>52.84</v>
      </c>
      <c r="M5">
        <v>41.92</v>
      </c>
      <c r="N5">
        <v>55.28</v>
      </c>
      <c r="O5">
        <v>255</v>
      </c>
      <c r="P5">
        <v>525</v>
      </c>
    </row>
    <row r="6" spans="1:16" x14ac:dyDescent="0.35">
      <c r="A6">
        <v>90632</v>
      </c>
      <c r="B6" t="s">
        <v>197</v>
      </c>
      <c r="E6" t="s">
        <v>23</v>
      </c>
      <c r="F6" t="s">
        <v>23</v>
      </c>
      <c r="G6" t="s">
        <v>24</v>
      </c>
      <c r="H6" t="s">
        <v>196</v>
      </c>
      <c r="I6" t="s">
        <v>31</v>
      </c>
      <c r="J6">
        <v>51.523200000000003</v>
      </c>
      <c r="K6">
        <v>51.220500000000001</v>
      </c>
      <c r="L6">
        <v>51.825899999999997</v>
      </c>
      <c r="M6">
        <v>51.0458</v>
      </c>
      <c r="N6">
        <v>52.000300000000003</v>
      </c>
      <c r="O6">
        <v>53951</v>
      </c>
      <c r="P6">
        <v>104712</v>
      </c>
    </row>
    <row r="7" spans="1:16" x14ac:dyDescent="0.35">
      <c r="A7">
        <v>90632</v>
      </c>
      <c r="B7" t="s">
        <v>197</v>
      </c>
      <c r="C7" t="s">
        <v>22</v>
      </c>
      <c r="D7" t="s">
        <v>23</v>
      </c>
      <c r="E7" t="s">
        <v>28</v>
      </c>
      <c r="F7" t="s">
        <v>29</v>
      </c>
      <c r="G7" t="s">
        <v>24</v>
      </c>
      <c r="H7" t="s">
        <v>196</v>
      </c>
      <c r="I7" t="s">
        <v>31</v>
      </c>
      <c r="J7">
        <v>43.544899999999998</v>
      </c>
      <c r="K7">
        <v>39.0715</v>
      </c>
      <c r="L7">
        <v>48.125799999999998</v>
      </c>
      <c r="M7">
        <v>36.5822</v>
      </c>
      <c r="N7">
        <v>50.771700000000003</v>
      </c>
      <c r="O7">
        <v>199</v>
      </c>
      <c r="P7">
        <v>457</v>
      </c>
    </row>
    <row r="8" spans="1:16" x14ac:dyDescent="0.35">
      <c r="A8">
        <v>90632</v>
      </c>
      <c r="B8" t="s">
        <v>197</v>
      </c>
      <c r="E8" t="s">
        <v>23</v>
      </c>
      <c r="F8" t="s">
        <v>23</v>
      </c>
      <c r="G8" t="s">
        <v>24</v>
      </c>
      <c r="H8" t="s">
        <v>196</v>
      </c>
      <c r="I8" t="s">
        <v>32</v>
      </c>
      <c r="J8">
        <v>51.257100000000001</v>
      </c>
      <c r="K8">
        <v>50.947699999999998</v>
      </c>
      <c r="L8">
        <v>51.566499999999998</v>
      </c>
      <c r="M8">
        <v>50.769199999999998</v>
      </c>
      <c r="N8">
        <v>51.744799999999998</v>
      </c>
      <c r="O8">
        <v>51394</v>
      </c>
      <c r="P8">
        <v>100267</v>
      </c>
    </row>
    <row r="9" spans="1:16" x14ac:dyDescent="0.35">
      <c r="A9">
        <v>90632</v>
      </c>
      <c r="B9" t="s">
        <v>197</v>
      </c>
      <c r="C9" t="s">
        <v>22</v>
      </c>
      <c r="D9" t="s">
        <v>23</v>
      </c>
      <c r="E9" t="s">
        <v>28</v>
      </c>
      <c r="F9" t="s">
        <v>29</v>
      </c>
      <c r="G9" t="s">
        <v>24</v>
      </c>
      <c r="H9" t="s">
        <v>196</v>
      </c>
      <c r="I9" t="s">
        <v>32</v>
      </c>
      <c r="J9">
        <v>45.045000000000002</v>
      </c>
      <c r="K9">
        <v>40.479300000000002</v>
      </c>
      <c r="L9">
        <v>49.695700000000002</v>
      </c>
      <c r="M9">
        <v>37.929099999999998</v>
      </c>
      <c r="N9">
        <v>52.369599999999998</v>
      </c>
      <c r="O9">
        <v>200</v>
      </c>
      <c r="P9">
        <v>444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9EED2-3261-472C-A1BE-EFE739819723}">
  <dimension ref="A1:N155"/>
  <sheetViews>
    <sheetView workbookViewId="0">
      <selection activeCell="B2" sqref="B2"/>
    </sheetView>
  </sheetViews>
  <sheetFormatPr defaultRowHeight="14.5" x14ac:dyDescent="0.35"/>
  <sheetData>
    <row r="1" spans="1:14" x14ac:dyDescent="0.35">
      <c r="A1" t="s">
        <v>0</v>
      </c>
      <c r="B1" t="s">
        <v>1</v>
      </c>
      <c r="C1" t="s">
        <v>223</v>
      </c>
      <c r="D1" t="s">
        <v>5</v>
      </c>
      <c r="E1" t="s">
        <v>6</v>
      </c>
      <c r="F1" t="s">
        <v>7</v>
      </c>
      <c r="G1" t="s">
        <v>8</v>
      </c>
      <c r="H1" t="s">
        <v>9</v>
      </c>
      <c r="I1" t="s">
        <v>10</v>
      </c>
      <c r="J1" t="s">
        <v>11</v>
      </c>
      <c r="K1" t="s">
        <v>12</v>
      </c>
      <c r="L1" t="s">
        <v>13</v>
      </c>
      <c r="M1" t="s">
        <v>14</v>
      </c>
      <c r="N1" t="s">
        <v>15</v>
      </c>
    </row>
    <row r="2" spans="1:14" x14ac:dyDescent="0.35">
      <c r="A2">
        <v>90632</v>
      </c>
      <c r="B2" t="s">
        <v>197</v>
      </c>
      <c r="C2" t="s">
        <v>23</v>
      </c>
      <c r="D2" t="s">
        <v>23</v>
      </c>
      <c r="E2" t="s">
        <v>24</v>
      </c>
      <c r="F2" t="s">
        <v>196</v>
      </c>
      <c r="G2" t="s">
        <v>32</v>
      </c>
      <c r="H2">
        <v>51.257100000000001</v>
      </c>
      <c r="I2">
        <v>50.947699999999998</v>
      </c>
      <c r="J2">
        <v>51.566499999999998</v>
      </c>
      <c r="K2">
        <v>50.769199999999998</v>
      </c>
      <c r="L2">
        <v>51.744799999999998</v>
      </c>
      <c r="M2" s="1">
        <v>51394</v>
      </c>
      <c r="N2">
        <v>100267</v>
      </c>
    </row>
    <row r="3" spans="1:14" x14ac:dyDescent="0.35">
      <c r="A3">
        <v>90632</v>
      </c>
      <c r="B3" t="s">
        <v>197</v>
      </c>
      <c r="C3" t="s">
        <v>182</v>
      </c>
      <c r="D3" t="s">
        <v>29</v>
      </c>
      <c r="E3" t="s">
        <v>24</v>
      </c>
      <c r="F3" t="s">
        <v>196</v>
      </c>
      <c r="G3" t="s">
        <v>32</v>
      </c>
      <c r="H3">
        <v>100</v>
      </c>
      <c r="I3">
        <v>56.5518</v>
      </c>
      <c r="J3">
        <v>100</v>
      </c>
      <c r="K3">
        <v>34.365400000000001</v>
      </c>
      <c r="L3">
        <v>100</v>
      </c>
      <c r="M3">
        <v>5</v>
      </c>
      <c r="N3">
        <v>5</v>
      </c>
    </row>
    <row r="4" spans="1:14" x14ac:dyDescent="0.35">
      <c r="A4">
        <v>90632</v>
      </c>
      <c r="B4" t="s">
        <v>197</v>
      </c>
      <c r="C4" t="s">
        <v>171</v>
      </c>
      <c r="D4" t="s">
        <v>29</v>
      </c>
      <c r="E4" t="s">
        <v>24</v>
      </c>
      <c r="F4" t="s">
        <v>196</v>
      </c>
      <c r="G4" t="s">
        <v>32</v>
      </c>
      <c r="H4">
        <v>65.905799999999999</v>
      </c>
      <c r="I4">
        <v>62.318600000000004</v>
      </c>
      <c r="J4">
        <v>69.319699999999997</v>
      </c>
      <c r="K4">
        <v>60.192599999999999</v>
      </c>
      <c r="L4">
        <v>71.191599999999994</v>
      </c>
      <c r="M4">
        <v>462</v>
      </c>
      <c r="N4">
        <v>701</v>
      </c>
    </row>
    <row r="5" spans="1:14" x14ac:dyDescent="0.35">
      <c r="A5">
        <v>90632</v>
      </c>
      <c r="B5" t="s">
        <v>197</v>
      </c>
      <c r="C5" t="s">
        <v>150</v>
      </c>
      <c r="D5" t="s">
        <v>29</v>
      </c>
      <c r="E5" t="s">
        <v>24</v>
      </c>
      <c r="F5" t="s">
        <v>196</v>
      </c>
      <c r="G5" t="s">
        <v>32</v>
      </c>
      <c r="H5">
        <v>64.379099999999994</v>
      </c>
      <c r="I5">
        <v>58.865699999999997</v>
      </c>
      <c r="J5">
        <v>69.536000000000001</v>
      </c>
      <c r="K5">
        <v>55.601900000000001</v>
      </c>
      <c r="L5">
        <v>72.286000000000001</v>
      </c>
      <c r="M5">
        <v>197</v>
      </c>
      <c r="N5">
        <v>306</v>
      </c>
    </row>
    <row r="6" spans="1:14" x14ac:dyDescent="0.35">
      <c r="A6">
        <v>90632</v>
      </c>
      <c r="B6" t="s">
        <v>197</v>
      </c>
      <c r="C6" t="s">
        <v>158</v>
      </c>
      <c r="D6" t="s">
        <v>29</v>
      </c>
      <c r="E6" t="s">
        <v>24</v>
      </c>
      <c r="F6" t="s">
        <v>196</v>
      </c>
      <c r="G6" t="s">
        <v>32</v>
      </c>
      <c r="H6">
        <v>64.182400000000001</v>
      </c>
      <c r="I6">
        <v>60.994</v>
      </c>
      <c r="J6">
        <v>67.250200000000007</v>
      </c>
      <c r="K6">
        <v>59.115499999999997</v>
      </c>
      <c r="L6">
        <v>68.9512</v>
      </c>
      <c r="M6">
        <v>577</v>
      </c>
      <c r="N6">
        <v>899</v>
      </c>
    </row>
    <row r="7" spans="1:14" x14ac:dyDescent="0.35">
      <c r="A7">
        <v>90632</v>
      </c>
      <c r="B7" t="s">
        <v>197</v>
      </c>
      <c r="C7" t="s">
        <v>157</v>
      </c>
      <c r="D7" t="s">
        <v>29</v>
      </c>
      <c r="E7" t="s">
        <v>24</v>
      </c>
      <c r="F7" t="s">
        <v>196</v>
      </c>
      <c r="G7" t="s">
        <v>32</v>
      </c>
      <c r="H7">
        <v>63.636400000000002</v>
      </c>
      <c r="I7">
        <v>59.0989</v>
      </c>
      <c r="J7">
        <v>67.9435</v>
      </c>
      <c r="K7">
        <v>56.420900000000003</v>
      </c>
      <c r="L7">
        <v>70.286299999999997</v>
      </c>
      <c r="M7">
        <v>287</v>
      </c>
      <c r="N7">
        <v>451</v>
      </c>
    </row>
    <row r="8" spans="1:14" x14ac:dyDescent="0.35">
      <c r="A8">
        <v>90632</v>
      </c>
      <c r="B8" t="s">
        <v>197</v>
      </c>
      <c r="C8" t="s">
        <v>176</v>
      </c>
      <c r="D8" t="s">
        <v>29</v>
      </c>
      <c r="E8" t="s">
        <v>24</v>
      </c>
      <c r="F8" t="s">
        <v>196</v>
      </c>
      <c r="G8" t="s">
        <v>32</v>
      </c>
      <c r="H8">
        <v>63.145499999999998</v>
      </c>
      <c r="I8">
        <v>58.466099999999997</v>
      </c>
      <c r="J8">
        <v>67.59</v>
      </c>
      <c r="K8">
        <v>55.708399999999997</v>
      </c>
      <c r="L8">
        <v>70.006299999999996</v>
      </c>
      <c r="M8">
        <v>269</v>
      </c>
      <c r="N8">
        <v>426</v>
      </c>
    </row>
    <row r="9" spans="1:14" x14ac:dyDescent="0.35">
      <c r="A9">
        <v>90632</v>
      </c>
      <c r="B9" t="s">
        <v>197</v>
      </c>
      <c r="C9" t="s">
        <v>173</v>
      </c>
      <c r="D9" t="s">
        <v>29</v>
      </c>
      <c r="E9" t="s">
        <v>24</v>
      </c>
      <c r="F9" t="s">
        <v>196</v>
      </c>
      <c r="G9" t="s">
        <v>32</v>
      </c>
      <c r="H9">
        <v>62.331800000000001</v>
      </c>
      <c r="I9">
        <v>59.105499999999999</v>
      </c>
      <c r="J9">
        <v>65.452399999999997</v>
      </c>
      <c r="K9">
        <v>57.212499999999999</v>
      </c>
      <c r="L9">
        <v>67.189899999999994</v>
      </c>
      <c r="M9">
        <v>556</v>
      </c>
      <c r="N9">
        <v>892</v>
      </c>
    </row>
    <row r="10" spans="1:14" x14ac:dyDescent="0.35">
      <c r="A10">
        <v>90632</v>
      </c>
      <c r="B10" t="s">
        <v>197</v>
      </c>
      <c r="C10" t="s">
        <v>109</v>
      </c>
      <c r="D10" t="s">
        <v>29</v>
      </c>
      <c r="E10" t="s">
        <v>24</v>
      </c>
      <c r="F10" t="s">
        <v>196</v>
      </c>
      <c r="G10" t="s">
        <v>32</v>
      </c>
      <c r="H10">
        <v>61.980800000000002</v>
      </c>
      <c r="I10">
        <v>56.488500000000002</v>
      </c>
      <c r="J10">
        <v>67.182699999999997</v>
      </c>
      <c r="K10">
        <v>53.265999999999998</v>
      </c>
      <c r="L10">
        <v>69.9863</v>
      </c>
      <c r="M10">
        <v>194</v>
      </c>
      <c r="N10">
        <v>313</v>
      </c>
    </row>
    <row r="11" spans="1:14" x14ac:dyDescent="0.35">
      <c r="A11">
        <v>90632</v>
      </c>
      <c r="B11" t="s">
        <v>197</v>
      </c>
      <c r="C11" t="s">
        <v>152</v>
      </c>
      <c r="D11" t="s">
        <v>29</v>
      </c>
      <c r="E11" t="s">
        <v>24</v>
      </c>
      <c r="F11" t="s">
        <v>196</v>
      </c>
      <c r="G11" t="s">
        <v>32</v>
      </c>
      <c r="H11">
        <v>61.927700000000002</v>
      </c>
      <c r="I11">
        <v>57.166800000000002</v>
      </c>
      <c r="J11">
        <v>66.469800000000006</v>
      </c>
      <c r="K11">
        <v>54.372100000000003</v>
      </c>
      <c r="L11">
        <v>68.946700000000007</v>
      </c>
      <c r="M11">
        <v>257</v>
      </c>
      <c r="N11">
        <v>415</v>
      </c>
    </row>
    <row r="12" spans="1:14" x14ac:dyDescent="0.35">
      <c r="A12">
        <v>90632</v>
      </c>
      <c r="B12" t="s">
        <v>197</v>
      </c>
      <c r="C12" t="s">
        <v>178</v>
      </c>
      <c r="D12" t="s">
        <v>29</v>
      </c>
      <c r="E12" t="s">
        <v>24</v>
      </c>
      <c r="F12" t="s">
        <v>196</v>
      </c>
      <c r="G12" t="s">
        <v>32</v>
      </c>
      <c r="H12">
        <v>61.283999999999999</v>
      </c>
      <c r="I12">
        <v>57.004199999999997</v>
      </c>
      <c r="J12">
        <v>65.396500000000003</v>
      </c>
      <c r="K12">
        <v>54.496400000000001</v>
      </c>
      <c r="L12">
        <v>67.66</v>
      </c>
      <c r="M12">
        <v>315</v>
      </c>
      <c r="N12">
        <v>514</v>
      </c>
    </row>
    <row r="13" spans="1:14" x14ac:dyDescent="0.35">
      <c r="A13">
        <v>90632</v>
      </c>
      <c r="B13" t="s">
        <v>197</v>
      </c>
      <c r="C13" t="s">
        <v>172</v>
      </c>
      <c r="D13" t="s">
        <v>29</v>
      </c>
      <c r="E13" t="s">
        <v>24</v>
      </c>
      <c r="F13" t="s">
        <v>196</v>
      </c>
      <c r="G13" t="s">
        <v>32</v>
      </c>
      <c r="H13">
        <v>61.021900000000002</v>
      </c>
      <c r="I13">
        <v>57.317900000000002</v>
      </c>
      <c r="J13">
        <v>64.602999999999994</v>
      </c>
      <c r="K13">
        <v>55.149700000000003</v>
      </c>
      <c r="L13">
        <v>66.590999999999994</v>
      </c>
      <c r="M13">
        <v>418</v>
      </c>
      <c r="N13">
        <v>685</v>
      </c>
    </row>
    <row r="14" spans="1:14" x14ac:dyDescent="0.35">
      <c r="A14">
        <v>90632</v>
      </c>
      <c r="B14" t="s">
        <v>197</v>
      </c>
      <c r="C14" t="s">
        <v>169</v>
      </c>
      <c r="D14" t="s">
        <v>29</v>
      </c>
      <c r="E14" t="s">
        <v>24</v>
      </c>
      <c r="F14" t="s">
        <v>196</v>
      </c>
      <c r="G14" t="s">
        <v>32</v>
      </c>
      <c r="H14">
        <v>60.411900000000003</v>
      </c>
      <c r="I14">
        <v>55.755200000000002</v>
      </c>
      <c r="J14">
        <v>64.887200000000007</v>
      </c>
      <c r="K14">
        <v>53.034199999999998</v>
      </c>
      <c r="L14">
        <v>67.344200000000001</v>
      </c>
      <c r="M14">
        <v>264</v>
      </c>
      <c r="N14">
        <v>437</v>
      </c>
    </row>
    <row r="15" spans="1:14" x14ac:dyDescent="0.35">
      <c r="A15">
        <v>90632</v>
      </c>
      <c r="B15" t="s">
        <v>197</v>
      </c>
      <c r="C15" t="s">
        <v>175</v>
      </c>
      <c r="D15" t="s">
        <v>29</v>
      </c>
      <c r="E15" t="s">
        <v>24</v>
      </c>
      <c r="F15" t="s">
        <v>196</v>
      </c>
      <c r="G15" t="s">
        <v>32</v>
      </c>
      <c r="H15">
        <v>60.216299999999997</v>
      </c>
      <c r="I15">
        <v>56.850900000000003</v>
      </c>
      <c r="J15">
        <v>63.487900000000003</v>
      </c>
      <c r="K15">
        <v>54.885199999999998</v>
      </c>
      <c r="L15">
        <v>65.315600000000003</v>
      </c>
      <c r="M15">
        <v>501</v>
      </c>
      <c r="N15">
        <v>832</v>
      </c>
    </row>
    <row r="16" spans="1:14" x14ac:dyDescent="0.35">
      <c r="A16">
        <v>90632</v>
      </c>
      <c r="B16" t="s">
        <v>197</v>
      </c>
      <c r="C16" t="s">
        <v>153</v>
      </c>
      <c r="D16" t="s">
        <v>29</v>
      </c>
      <c r="E16" t="s">
        <v>24</v>
      </c>
      <c r="F16" t="s">
        <v>196</v>
      </c>
      <c r="G16" t="s">
        <v>32</v>
      </c>
      <c r="H16">
        <v>60.020800000000001</v>
      </c>
      <c r="I16">
        <v>56.893000000000001</v>
      </c>
      <c r="J16">
        <v>63.068899999999999</v>
      </c>
      <c r="K16">
        <v>55.067300000000003</v>
      </c>
      <c r="L16">
        <v>64.7774</v>
      </c>
      <c r="M16">
        <v>578</v>
      </c>
      <c r="N16">
        <v>963</v>
      </c>
    </row>
    <row r="17" spans="1:14" x14ac:dyDescent="0.35">
      <c r="A17">
        <v>90632</v>
      </c>
      <c r="B17" t="s">
        <v>197</v>
      </c>
      <c r="C17" t="s">
        <v>170</v>
      </c>
      <c r="D17" t="s">
        <v>29</v>
      </c>
      <c r="E17" t="s">
        <v>24</v>
      </c>
      <c r="F17" t="s">
        <v>196</v>
      </c>
      <c r="G17" t="s">
        <v>32</v>
      </c>
      <c r="H17">
        <v>59.745800000000003</v>
      </c>
      <c r="I17">
        <v>53.3812</v>
      </c>
      <c r="J17">
        <v>65.798100000000005</v>
      </c>
      <c r="K17">
        <v>49.688099999999999</v>
      </c>
      <c r="L17">
        <v>69.045400000000001</v>
      </c>
      <c r="M17">
        <v>141</v>
      </c>
      <c r="N17">
        <v>236</v>
      </c>
    </row>
    <row r="18" spans="1:14" x14ac:dyDescent="0.35">
      <c r="A18">
        <v>90632</v>
      </c>
      <c r="B18" t="s">
        <v>197</v>
      </c>
      <c r="C18" t="s">
        <v>71</v>
      </c>
      <c r="D18" t="s">
        <v>29</v>
      </c>
      <c r="E18" t="s">
        <v>24</v>
      </c>
      <c r="F18" t="s">
        <v>196</v>
      </c>
      <c r="G18" t="s">
        <v>32</v>
      </c>
      <c r="H18">
        <v>59.481099999999998</v>
      </c>
      <c r="I18">
        <v>58.076599999999999</v>
      </c>
      <c r="J18">
        <v>60.8703</v>
      </c>
      <c r="K18">
        <v>57.260899999999999</v>
      </c>
      <c r="L18">
        <v>61.663200000000003</v>
      </c>
      <c r="M18" s="1">
        <v>2820</v>
      </c>
      <c r="N18">
        <v>4741</v>
      </c>
    </row>
    <row r="19" spans="1:14" x14ac:dyDescent="0.35">
      <c r="A19">
        <v>90632</v>
      </c>
      <c r="B19" t="s">
        <v>197</v>
      </c>
      <c r="C19" t="s">
        <v>161</v>
      </c>
      <c r="D19" t="s">
        <v>29</v>
      </c>
      <c r="E19" t="s">
        <v>24</v>
      </c>
      <c r="F19" t="s">
        <v>196</v>
      </c>
      <c r="G19" t="s">
        <v>32</v>
      </c>
      <c r="H19">
        <v>59.128999999999998</v>
      </c>
      <c r="I19">
        <v>55.139400000000002</v>
      </c>
      <c r="J19">
        <v>63.001800000000003</v>
      </c>
      <c r="K19">
        <v>52.815300000000001</v>
      </c>
      <c r="L19">
        <v>65.155199999999994</v>
      </c>
      <c r="M19">
        <v>353</v>
      </c>
      <c r="N19">
        <v>597</v>
      </c>
    </row>
    <row r="20" spans="1:14" x14ac:dyDescent="0.35">
      <c r="A20">
        <v>90632</v>
      </c>
      <c r="B20" t="s">
        <v>197</v>
      </c>
      <c r="C20" t="s">
        <v>146</v>
      </c>
      <c r="D20" t="s">
        <v>29</v>
      </c>
      <c r="E20" t="s">
        <v>24</v>
      </c>
      <c r="F20" t="s">
        <v>196</v>
      </c>
      <c r="G20" t="s">
        <v>32</v>
      </c>
      <c r="H20">
        <v>58.974400000000003</v>
      </c>
      <c r="I20">
        <v>53.439399999999999</v>
      </c>
      <c r="J20">
        <v>64.290999999999997</v>
      </c>
      <c r="K20">
        <v>50.226999999999997</v>
      </c>
      <c r="L20">
        <v>67.188699999999997</v>
      </c>
      <c r="M20">
        <v>184</v>
      </c>
      <c r="N20">
        <v>312</v>
      </c>
    </row>
    <row r="21" spans="1:14" x14ac:dyDescent="0.35">
      <c r="A21">
        <v>90632</v>
      </c>
      <c r="B21" t="s">
        <v>197</v>
      </c>
      <c r="C21" t="s">
        <v>166</v>
      </c>
      <c r="D21" t="s">
        <v>29</v>
      </c>
      <c r="E21" t="s">
        <v>24</v>
      </c>
      <c r="F21" t="s">
        <v>196</v>
      </c>
      <c r="G21" t="s">
        <v>32</v>
      </c>
      <c r="H21">
        <v>58.134900000000002</v>
      </c>
      <c r="I21">
        <v>53.782200000000003</v>
      </c>
      <c r="J21">
        <v>62.3645</v>
      </c>
      <c r="K21">
        <v>51.254600000000003</v>
      </c>
      <c r="L21">
        <v>64.712699999999998</v>
      </c>
      <c r="M21">
        <v>293</v>
      </c>
      <c r="N21">
        <v>504</v>
      </c>
    </row>
    <row r="22" spans="1:14" x14ac:dyDescent="0.35">
      <c r="A22">
        <v>90632</v>
      </c>
      <c r="B22" t="s">
        <v>197</v>
      </c>
      <c r="C22" t="s">
        <v>117</v>
      </c>
      <c r="D22" t="s">
        <v>29</v>
      </c>
      <c r="E22" t="s">
        <v>24</v>
      </c>
      <c r="F22" t="s">
        <v>196</v>
      </c>
      <c r="G22" t="s">
        <v>32</v>
      </c>
      <c r="H22">
        <v>58.123800000000003</v>
      </c>
      <c r="I22">
        <v>55.091999999999999</v>
      </c>
      <c r="J22">
        <v>61.095399999999998</v>
      </c>
      <c r="K22">
        <v>53.3294</v>
      </c>
      <c r="L22">
        <v>62.769500000000001</v>
      </c>
      <c r="M22">
        <v>601</v>
      </c>
      <c r="N22">
        <v>1034</v>
      </c>
    </row>
    <row r="23" spans="1:14" x14ac:dyDescent="0.35">
      <c r="A23">
        <v>90632</v>
      </c>
      <c r="B23" t="s">
        <v>197</v>
      </c>
      <c r="C23" t="s">
        <v>160</v>
      </c>
      <c r="D23" t="s">
        <v>29</v>
      </c>
      <c r="E23" t="s">
        <v>24</v>
      </c>
      <c r="F23" t="s">
        <v>196</v>
      </c>
      <c r="G23" t="s">
        <v>32</v>
      </c>
      <c r="H23">
        <v>58.070500000000003</v>
      </c>
      <c r="I23">
        <v>53.862000000000002</v>
      </c>
      <c r="J23">
        <v>62.164700000000003</v>
      </c>
      <c r="K23">
        <v>51.417900000000003</v>
      </c>
      <c r="L23">
        <v>64.442099999999996</v>
      </c>
      <c r="M23">
        <v>313</v>
      </c>
      <c r="N23">
        <v>539</v>
      </c>
    </row>
    <row r="24" spans="1:14" x14ac:dyDescent="0.35">
      <c r="A24">
        <v>90632</v>
      </c>
      <c r="B24" t="s">
        <v>197</v>
      </c>
      <c r="C24" t="s">
        <v>155</v>
      </c>
      <c r="D24" t="s">
        <v>29</v>
      </c>
      <c r="E24" t="s">
        <v>24</v>
      </c>
      <c r="F24" t="s">
        <v>196</v>
      </c>
      <c r="G24" t="s">
        <v>32</v>
      </c>
      <c r="H24">
        <v>57.1235</v>
      </c>
      <c r="I24">
        <v>53.522599999999997</v>
      </c>
      <c r="J24">
        <v>60.650399999999998</v>
      </c>
      <c r="K24">
        <v>51.4343</v>
      </c>
      <c r="L24">
        <v>62.630400000000002</v>
      </c>
      <c r="M24">
        <v>421</v>
      </c>
      <c r="N24">
        <v>737</v>
      </c>
    </row>
    <row r="25" spans="1:14" x14ac:dyDescent="0.35">
      <c r="A25">
        <v>90632</v>
      </c>
      <c r="B25" t="s">
        <v>197</v>
      </c>
      <c r="C25" t="s">
        <v>164</v>
      </c>
      <c r="D25" t="s">
        <v>29</v>
      </c>
      <c r="E25" t="s">
        <v>24</v>
      </c>
      <c r="F25" t="s">
        <v>196</v>
      </c>
      <c r="G25" t="s">
        <v>32</v>
      </c>
      <c r="H25">
        <v>57.009300000000003</v>
      </c>
      <c r="I25">
        <v>52.7791</v>
      </c>
      <c r="J25">
        <v>61.139699999999998</v>
      </c>
      <c r="K25">
        <v>50.3294</v>
      </c>
      <c r="L25">
        <v>63.4435</v>
      </c>
      <c r="M25">
        <v>305</v>
      </c>
      <c r="N25">
        <v>535</v>
      </c>
    </row>
    <row r="26" spans="1:14" x14ac:dyDescent="0.35">
      <c r="A26">
        <v>90632</v>
      </c>
      <c r="B26" t="s">
        <v>197</v>
      </c>
      <c r="C26" t="s">
        <v>179</v>
      </c>
      <c r="D26" t="s">
        <v>29</v>
      </c>
      <c r="E26" t="s">
        <v>24</v>
      </c>
      <c r="F26" t="s">
        <v>196</v>
      </c>
      <c r="G26" t="s">
        <v>32</v>
      </c>
      <c r="H26">
        <v>56.901400000000002</v>
      </c>
      <c r="I26">
        <v>51.703200000000002</v>
      </c>
      <c r="J26">
        <v>61.951799999999999</v>
      </c>
      <c r="K26">
        <v>48.703499999999998</v>
      </c>
      <c r="L26">
        <v>64.737700000000004</v>
      </c>
      <c r="M26">
        <v>202</v>
      </c>
      <c r="N26">
        <v>355</v>
      </c>
    </row>
    <row r="27" spans="1:14" x14ac:dyDescent="0.35">
      <c r="A27">
        <v>90632</v>
      </c>
      <c r="B27" t="s">
        <v>197</v>
      </c>
      <c r="C27" t="s">
        <v>151</v>
      </c>
      <c r="D27" t="s">
        <v>29</v>
      </c>
      <c r="E27" t="s">
        <v>24</v>
      </c>
      <c r="F27" t="s">
        <v>196</v>
      </c>
      <c r="G27" t="s">
        <v>32</v>
      </c>
      <c r="H27">
        <v>56.530200000000001</v>
      </c>
      <c r="I27">
        <v>52.207700000000003</v>
      </c>
      <c r="J27">
        <v>60.755600000000001</v>
      </c>
      <c r="K27">
        <v>49.708500000000001</v>
      </c>
      <c r="L27">
        <v>63.113300000000002</v>
      </c>
      <c r="M27">
        <v>290</v>
      </c>
      <c r="N27">
        <v>513</v>
      </c>
    </row>
    <row r="28" spans="1:14" x14ac:dyDescent="0.35">
      <c r="A28">
        <v>90632</v>
      </c>
      <c r="B28" t="s">
        <v>197</v>
      </c>
      <c r="C28" t="s">
        <v>63</v>
      </c>
      <c r="D28" t="s">
        <v>29</v>
      </c>
      <c r="E28" t="s">
        <v>24</v>
      </c>
      <c r="F28" t="s">
        <v>196</v>
      </c>
      <c r="G28" t="s">
        <v>32</v>
      </c>
      <c r="H28">
        <v>56.13</v>
      </c>
      <c r="I28">
        <v>52.367800000000003</v>
      </c>
      <c r="J28">
        <v>59.823</v>
      </c>
      <c r="K28">
        <v>50.191699999999997</v>
      </c>
      <c r="L28">
        <v>61.897799999999997</v>
      </c>
      <c r="M28">
        <v>380</v>
      </c>
      <c r="N28">
        <v>677</v>
      </c>
    </row>
    <row r="29" spans="1:14" x14ac:dyDescent="0.35">
      <c r="A29">
        <v>90632</v>
      </c>
      <c r="B29" t="s">
        <v>197</v>
      </c>
      <c r="C29" t="s">
        <v>125</v>
      </c>
      <c r="D29" t="s">
        <v>29</v>
      </c>
      <c r="E29" t="s">
        <v>24</v>
      </c>
      <c r="F29" t="s">
        <v>196</v>
      </c>
      <c r="G29" t="s">
        <v>32</v>
      </c>
      <c r="H29">
        <v>56.042299999999997</v>
      </c>
      <c r="I29">
        <v>52.237299999999998</v>
      </c>
      <c r="J29">
        <v>59.7776</v>
      </c>
      <c r="K29">
        <v>50.036999999999999</v>
      </c>
      <c r="L29">
        <v>61.875700000000002</v>
      </c>
      <c r="M29">
        <v>371</v>
      </c>
      <c r="N29">
        <v>662</v>
      </c>
    </row>
    <row r="30" spans="1:14" x14ac:dyDescent="0.35">
      <c r="A30">
        <v>90632</v>
      </c>
      <c r="B30" t="s">
        <v>197</v>
      </c>
      <c r="C30" t="s">
        <v>86</v>
      </c>
      <c r="D30" t="s">
        <v>29</v>
      </c>
      <c r="E30" t="s">
        <v>24</v>
      </c>
      <c r="F30" t="s">
        <v>196</v>
      </c>
      <c r="G30" t="s">
        <v>32</v>
      </c>
      <c r="H30">
        <v>55.974800000000002</v>
      </c>
      <c r="I30">
        <v>51.489800000000002</v>
      </c>
      <c r="J30">
        <v>60.364400000000003</v>
      </c>
      <c r="K30">
        <v>48.901899999999998</v>
      </c>
      <c r="L30">
        <v>62.813200000000002</v>
      </c>
      <c r="M30">
        <v>267</v>
      </c>
      <c r="N30">
        <v>477</v>
      </c>
    </row>
    <row r="31" spans="1:14" x14ac:dyDescent="0.35">
      <c r="A31">
        <v>90632</v>
      </c>
      <c r="B31" t="s">
        <v>197</v>
      </c>
      <c r="C31" t="s">
        <v>163</v>
      </c>
      <c r="D31" t="s">
        <v>29</v>
      </c>
      <c r="E31" t="s">
        <v>24</v>
      </c>
      <c r="F31" t="s">
        <v>196</v>
      </c>
      <c r="G31" t="s">
        <v>32</v>
      </c>
      <c r="H31">
        <v>55.814</v>
      </c>
      <c r="I31">
        <v>49.131500000000003</v>
      </c>
      <c r="J31">
        <v>62.292299999999997</v>
      </c>
      <c r="K31">
        <v>45.322600000000001</v>
      </c>
      <c r="L31">
        <v>65.8108</v>
      </c>
      <c r="M31">
        <v>120</v>
      </c>
      <c r="N31">
        <v>215</v>
      </c>
    </row>
    <row r="32" spans="1:14" x14ac:dyDescent="0.35">
      <c r="A32">
        <v>90632</v>
      </c>
      <c r="B32" t="s">
        <v>197</v>
      </c>
      <c r="C32" t="s">
        <v>167</v>
      </c>
      <c r="D32" t="s">
        <v>29</v>
      </c>
      <c r="E32" t="s">
        <v>24</v>
      </c>
      <c r="F32" t="s">
        <v>196</v>
      </c>
      <c r="G32" t="s">
        <v>32</v>
      </c>
      <c r="H32">
        <v>55.6995</v>
      </c>
      <c r="I32">
        <v>50.712000000000003</v>
      </c>
      <c r="J32">
        <v>60.574599999999997</v>
      </c>
      <c r="K32">
        <v>47.842399999999998</v>
      </c>
      <c r="L32">
        <v>63.281399999999998</v>
      </c>
      <c r="M32">
        <v>215</v>
      </c>
      <c r="N32">
        <v>386</v>
      </c>
    </row>
    <row r="33" spans="1:14" x14ac:dyDescent="0.35">
      <c r="A33">
        <v>90632</v>
      </c>
      <c r="B33" t="s">
        <v>197</v>
      </c>
      <c r="C33" t="s">
        <v>181</v>
      </c>
      <c r="D33" t="s">
        <v>29</v>
      </c>
      <c r="E33" t="s">
        <v>24</v>
      </c>
      <c r="F33" t="s">
        <v>196</v>
      </c>
      <c r="G33" t="s">
        <v>32</v>
      </c>
      <c r="H33">
        <v>55.6845</v>
      </c>
      <c r="I33">
        <v>50.9649</v>
      </c>
      <c r="J33">
        <v>60.3035</v>
      </c>
      <c r="K33">
        <v>48.246499999999997</v>
      </c>
      <c r="L33">
        <v>62.875999999999998</v>
      </c>
      <c r="M33">
        <v>240</v>
      </c>
      <c r="N33">
        <v>431</v>
      </c>
    </row>
    <row r="34" spans="1:14" x14ac:dyDescent="0.35">
      <c r="A34">
        <v>90632</v>
      </c>
      <c r="B34" t="s">
        <v>197</v>
      </c>
      <c r="C34" t="s">
        <v>174</v>
      </c>
      <c r="D34" t="s">
        <v>29</v>
      </c>
      <c r="E34" t="s">
        <v>24</v>
      </c>
      <c r="F34" t="s">
        <v>196</v>
      </c>
      <c r="G34" t="s">
        <v>32</v>
      </c>
      <c r="H34">
        <v>55.555599999999998</v>
      </c>
      <c r="I34">
        <v>51.441699999999997</v>
      </c>
      <c r="J34">
        <v>59.5946</v>
      </c>
      <c r="K34">
        <v>49.067799999999998</v>
      </c>
      <c r="L34">
        <v>61.859299999999998</v>
      </c>
      <c r="M34">
        <v>315</v>
      </c>
      <c r="N34">
        <v>567</v>
      </c>
    </row>
    <row r="35" spans="1:14" x14ac:dyDescent="0.35">
      <c r="A35">
        <v>90632</v>
      </c>
      <c r="B35" t="s">
        <v>197</v>
      </c>
      <c r="C35" t="s">
        <v>107</v>
      </c>
      <c r="D35" t="s">
        <v>29</v>
      </c>
      <c r="E35" t="s">
        <v>24</v>
      </c>
      <c r="F35" t="s">
        <v>196</v>
      </c>
      <c r="G35" t="s">
        <v>32</v>
      </c>
      <c r="H35">
        <v>55.462200000000003</v>
      </c>
      <c r="I35">
        <v>46.500700000000002</v>
      </c>
      <c r="J35">
        <v>64.081999999999994</v>
      </c>
      <c r="K35">
        <v>41.504100000000001</v>
      </c>
      <c r="L35">
        <v>68.608699999999999</v>
      </c>
      <c r="M35">
        <v>66</v>
      </c>
      <c r="N35">
        <v>119</v>
      </c>
    </row>
    <row r="36" spans="1:14" x14ac:dyDescent="0.35">
      <c r="A36">
        <v>90632</v>
      </c>
      <c r="B36" t="s">
        <v>197</v>
      </c>
      <c r="C36" t="s">
        <v>165</v>
      </c>
      <c r="D36" t="s">
        <v>29</v>
      </c>
      <c r="E36" t="s">
        <v>24</v>
      </c>
      <c r="F36" t="s">
        <v>196</v>
      </c>
      <c r="G36" t="s">
        <v>32</v>
      </c>
      <c r="H36">
        <v>55.0914</v>
      </c>
      <c r="I36">
        <v>50.0839</v>
      </c>
      <c r="J36">
        <v>59.997700000000002</v>
      </c>
      <c r="K36">
        <v>47.208500000000001</v>
      </c>
      <c r="L36">
        <v>62.726500000000001</v>
      </c>
      <c r="M36">
        <v>211</v>
      </c>
      <c r="N36">
        <v>383</v>
      </c>
    </row>
    <row r="37" spans="1:14" x14ac:dyDescent="0.35">
      <c r="A37">
        <v>90632</v>
      </c>
      <c r="B37" t="s">
        <v>197</v>
      </c>
      <c r="C37" t="s">
        <v>77</v>
      </c>
      <c r="D37" t="s">
        <v>29</v>
      </c>
      <c r="E37" t="s">
        <v>24</v>
      </c>
      <c r="F37" t="s">
        <v>196</v>
      </c>
      <c r="G37" t="s">
        <v>32</v>
      </c>
      <c r="H37">
        <v>55</v>
      </c>
      <c r="I37">
        <v>50.328200000000002</v>
      </c>
      <c r="J37">
        <v>59.5852</v>
      </c>
      <c r="K37">
        <v>47.642099999999999</v>
      </c>
      <c r="L37">
        <v>62.145400000000002</v>
      </c>
      <c r="M37">
        <v>242</v>
      </c>
      <c r="N37">
        <v>440</v>
      </c>
    </row>
    <row r="38" spans="1:14" x14ac:dyDescent="0.35">
      <c r="A38">
        <v>90632</v>
      </c>
      <c r="B38" t="s">
        <v>197</v>
      </c>
      <c r="C38" t="s">
        <v>180</v>
      </c>
      <c r="D38" t="s">
        <v>29</v>
      </c>
      <c r="E38" t="s">
        <v>24</v>
      </c>
      <c r="F38" t="s">
        <v>196</v>
      </c>
      <c r="G38" t="s">
        <v>32</v>
      </c>
      <c r="H38">
        <v>55</v>
      </c>
      <c r="I38">
        <v>51.065199999999997</v>
      </c>
      <c r="J38">
        <v>58.873199999999997</v>
      </c>
      <c r="K38">
        <v>48.796500000000002</v>
      </c>
      <c r="L38">
        <v>61.0518</v>
      </c>
      <c r="M38">
        <v>341</v>
      </c>
      <c r="N38">
        <v>620</v>
      </c>
    </row>
    <row r="39" spans="1:14" x14ac:dyDescent="0.35">
      <c r="A39">
        <v>90632</v>
      </c>
      <c r="B39" t="s">
        <v>197</v>
      </c>
      <c r="C39" t="s">
        <v>62</v>
      </c>
      <c r="D39" t="s">
        <v>29</v>
      </c>
      <c r="E39" t="s">
        <v>24</v>
      </c>
      <c r="F39" t="s">
        <v>196</v>
      </c>
      <c r="G39" t="s">
        <v>32</v>
      </c>
      <c r="H39">
        <v>54.615400000000001</v>
      </c>
      <c r="I39">
        <v>49.653199999999998</v>
      </c>
      <c r="J39">
        <v>59.4876</v>
      </c>
      <c r="K39">
        <v>46.807400000000001</v>
      </c>
      <c r="L39">
        <v>62.202800000000003</v>
      </c>
      <c r="M39">
        <v>213</v>
      </c>
      <c r="N39">
        <v>390</v>
      </c>
    </row>
    <row r="40" spans="1:14" x14ac:dyDescent="0.35">
      <c r="A40">
        <v>90632</v>
      </c>
      <c r="B40" t="s">
        <v>197</v>
      </c>
      <c r="C40" t="s">
        <v>185</v>
      </c>
      <c r="D40" t="s">
        <v>29</v>
      </c>
      <c r="E40" t="s">
        <v>24</v>
      </c>
      <c r="F40" t="s">
        <v>196</v>
      </c>
      <c r="G40" t="s">
        <v>32</v>
      </c>
      <c r="H40">
        <v>54.577500000000001</v>
      </c>
      <c r="I40">
        <v>48.764099999999999</v>
      </c>
      <c r="J40">
        <v>60.268599999999999</v>
      </c>
      <c r="K40">
        <v>45.447000000000003</v>
      </c>
      <c r="L40">
        <v>63.4101</v>
      </c>
      <c r="M40">
        <v>155</v>
      </c>
      <c r="N40">
        <v>284</v>
      </c>
    </row>
    <row r="41" spans="1:14" x14ac:dyDescent="0.35">
      <c r="A41">
        <v>90632</v>
      </c>
      <c r="B41" t="s">
        <v>197</v>
      </c>
      <c r="C41" t="s">
        <v>135</v>
      </c>
      <c r="D41" t="s">
        <v>29</v>
      </c>
      <c r="E41" t="s">
        <v>24</v>
      </c>
      <c r="F41" t="s">
        <v>196</v>
      </c>
      <c r="G41" t="s">
        <v>32</v>
      </c>
      <c r="H41">
        <v>54.505800000000001</v>
      </c>
      <c r="I41">
        <v>50.770099999999999</v>
      </c>
      <c r="J41">
        <v>58.191499999999998</v>
      </c>
      <c r="K41">
        <v>48.617400000000004</v>
      </c>
      <c r="L41">
        <v>60.270899999999997</v>
      </c>
      <c r="M41">
        <v>375</v>
      </c>
      <c r="N41">
        <v>688</v>
      </c>
    </row>
    <row r="42" spans="1:14" x14ac:dyDescent="0.35">
      <c r="A42">
        <v>90632</v>
      </c>
      <c r="B42" t="s">
        <v>197</v>
      </c>
      <c r="C42" t="s">
        <v>66</v>
      </c>
      <c r="D42" t="s">
        <v>29</v>
      </c>
      <c r="E42" t="s">
        <v>24</v>
      </c>
      <c r="F42" t="s">
        <v>196</v>
      </c>
      <c r="G42" t="s">
        <v>32</v>
      </c>
      <c r="H42">
        <v>54.247700000000002</v>
      </c>
      <c r="I42">
        <v>51.113199999999999</v>
      </c>
      <c r="J42">
        <v>57.3489</v>
      </c>
      <c r="K42">
        <v>49.304900000000004</v>
      </c>
      <c r="L42">
        <v>59.1083</v>
      </c>
      <c r="M42">
        <v>530</v>
      </c>
      <c r="N42">
        <v>977</v>
      </c>
    </row>
    <row r="43" spans="1:14" x14ac:dyDescent="0.35">
      <c r="A43">
        <v>90632</v>
      </c>
      <c r="B43" t="s">
        <v>197</v>
      </c>
      <c r="C43" t="s">
        <v>52</v>
      </c>
      <c r="D43" t="s">
        <v>29</v>
      </c>
      <c r="E43" t="s">
        <v>24</v>
      </c>
      <c r="F43" t="s">
        <v>196</v>
      </c>
      <c r="G43" t="s">
        <v>32</v>
      </c>
      <c r="H43">
        <v>54.094799999999999</v>
      </c>
      <c r="I43">
        <v>49.5456</v>
      </c>
      <c r="J43">
        <v>58.576799999999999</v>
      </c>
      <c r="K43">
        <v>46.935299999999998</v>
      </c>
      <c r="L43">
        <v>61.089199999999998</v>
      </c>
      <c r="M43">
        <v>251</v>
      </c>
      <c r="N43">
        <v>464</v>
      </c>
    </row>
    <row r="44" spans="1:14" x14ac:dyDescent="0.35">
      <c r="A44">
        <v>90632</v>
      </c>
      <c r="B44" t="s">
        <v>197</v>
      </c>
      <c r="C44" t="s">
        <v>112</v>
      </c>
      <c r="D44" t="s">
        <v>29</v>
      </c>
      <c r="E44" t="s">
        <v>24</v>
      </c>
      <c r="F44" t="s">
        <v>196</v>
      </c>
      <c r="G44" t="s">
        <v>32</v>
      </c>
      <c r="H44">
        <v>54.021000000000001</v>
      </c>
      <c r="I44">
        <v>49.923499999999997</v>
      </c>
      <c r="J44">
        <v>58.064799999999998</v>
      </c>
      <c r="K44">
        <v>47.568199999999997</v>
      </c>
      <c r="L44">
        <v>60.341700000000003</v>
      </c>
      <c r="M44">
        <v>309</v>
      </c>
      <c r="N44">
        <v>572</v>
      </c>
    </row>
    <row r="45" spans="1:14" x14ac:dyDescent="0.35">
      <c r="A45">
        <v>90632</v>
      </c>
      <c r="B45" t="s">
        <v>197</v>
      </c>
      <c r="C45" t="s">
        <v>145</v>
      </c>
      <c r="D45" t="s">
        <v>29</v>
      </c>
      <c r="E45" t="s">
        <v>24</v>
      </c>
      <c r="F45" t="s">
        <v>196</v>
      </c>
      <c r="G45" t="s">
        <v>32</v>
      </c>
      <c r="H45">
        <v>53.846200000000003</v>
      </c>
      <c r="I45">
        <v>50.500700000000002</v>
      </c>
      <c r="J45">
        <v>57.157299999999999</v>
      </c>
      <c r="K45">
        <v>48.573399999999999</v>
      </c>
      <c r="L45">
        <v>59.034300000000002</v>
      </c>
      <c r="M45">
        <v>462</v>
      </c>
      <c r="N45">
        <v>858</v>
      </c>
    </row>
    <row r="46" spans="1:14" x14ac:dyDescent="0.35">
      <c r="A46">
        <v>90632</v>
      </c>
      <c r="B46" t="s">
        <v>197</v>
      </c>
      <c r="C46" t="s">
        <v>88</v>
      </c>
      <c r="D46" t="s">
        <v>29</v>
      </c>
      <c r="E46" t="s">
        <v>24</v>
      </c>
      <c r="F46" t="s">
        <v>196</v>
      </c>
      <c r="G46" t="s">
        <v>32</v>
      </c>
      <c r="H46">
        <v>53.829300000000003</v>
      </c>
      <c r="I46">
        <v>49.245699999999999</v>
      </c>
      <c r="J46">
        <v>58.3491</v>
      </c>
      <c r="K46">
        <v>46.618099999999998</v>
      </c>
      <c r="L46">
        <v>60.883800000000001</v>
      </c>
      <c r="M46">
        <v>246</v>
      </c>
      <c r="N46">
        <v>457</v>
      </c>
    </row>
    <row r="47" spans="1:14" x14ac:dyDescent="0.35">
      <c r="A47">
        <v>90632</v>
      </c>
      <c r="B47" t="s">
        <v>197</v>
      </c>
      <c r="C47" t="s">
        <v>96</v>
      </c>
      <c r="D47" t="s">
        <v>29</v>
      </c>
      <c r="E47" t="s">
        <v>24</v>
      </c>
      <c r="F47" t="s">
        <v>196</v>
      </c>
      <c r="G47" t="s">
        <v>32</v>
      </c>
      <c r="H47">
        <v>53.791499999999999</v>
      </c>
      <c r="I47">
        <v>50.418399999999998</v>
      </c>
      <c r="J47">
        <v>57.130200000000002</v>
      </c>
      <c r="K47">
        <v>48.4754</v>
      </c>
      <c r="L47">
        <v>59.0227</v>
      </c>
      <c r="M47">
        <v>454</v>
      </c>
      <c r="N47">
        <v>844</v>
      </c>
    </row>
    <row r="48" spans="1:14" x14ac:dyDescent="0.35">
      <c r="A48">
        <v>90632</v>
      </c>
      <c r="B48" t="s">
        <v>197</v>
      </c>
      <c r="C48" t="s">
        <v>159</v>
      </c>
      <c r="D48" t="s">
        <v>29</v>
      </c>
      <c r="E48" t="s">
        <v>24</v>
      </c>
      <c r="F48" t="s">
        <v>196</v>
      </c>
      <c r="G48" t="s">
        <v>32</v>
      </c>
      <c r="H48">
        <v>53.6145</v>
      </c>
      <c r="I48">
        <v>48.239400000000003</v>
      </c>
      <c r="J48">
        <v>58.906799999999997</v>
      </c>
      <c r="K48">
        <v>45.174100000000003</v>
      </c>
      <c r="L48">
        <v>61.852699999999999</v>
      </c>
      <c r="M48">
        <v>178</v>
      </c>
      <c r="N48">
        <v>332</v>
      </c>
    </row>
    <row r="49" spans="1:14" x14ac:dyDescent="0.35">
      <c r="A49">
        <v>90632</v>
      </c>
      <c r="B49" t="s">
        <v>197</v>
      </c>
      <c r="C49" t="s">
        <v>127</v>
      </c>
      <c r="D49" t="s">
        <v>29</v>
      </c>
      <c r="E49" t="s">
        <v>24</v>
      </c>
      <c r="F49" t="s">
        <v>196</v>
      </c>
      <c r="G49" t="s">
        <v>32</v>
      </c>
      <c r="H49">
        <v>53.543300000000002</v>
      </c>
      <c r="I49">
        <v>44.892899999999997</v>
      </c>
      <c r="J49">
        <v>61.985700000000001</v>
      </c>
      <c r="K49">
        <v>40.1038</v>
      </c>
      <c r="L49">
        <v>66.487200000000001</v>
      </c>
      <c r="M49">
        <v>68</v>
      </c>
      <c r="N49">
        <v>127</v>
      </c>
    </row>
    <row r="50" spans="1:14" x14ac:dyDescent="0.35">
      <c r="A50">
        <v>90632</v>
      </c>
      <c r="B50" t="s">
        <v>197</v>
      </c>
      <c r="C50" t="s">
        <v>85</v>
      </c>
      <c r="D50" t="s">
        <v>29</v>
      </c>
      <c r="E50" t="s">
        <v>24</v>
      </c>
      <c r="F50" t="s">
        <v>196</v>
      </c>
      <c r="G50" t="s">
        <v>32</v>
      </c>
      <c r="H50">
        <v>53.507599999999996</v>
      </c>
      <c r="I50">
        <v>49.872999999999998</v>
      </c>
      <c r="J50">
        <v>57.105200000000004</v>
      </c>
      <c r="K50">
        <v>47.782699999999998</v>
      </c>
      <c r="L50">
        <v>59.141500000000001</v>
      </c>
      <c r="M50">
        <v>389</v>
      </c>
      <c r="N50">
        <v>727</v>
      </c>
    </row>
    <row r="51" spans="1:14" x14ac:dyDescent="0.35">
      <c r="A51">
        <v>90632</v>
      </c>
      <c r="B51" t="s">
        <v>197</v>
      </c>
      <c r="C51" t="s">
        <v>54</v>
      </c>
      <c r="D51" t="s">
        <v>29</v>
      </c>
      <c r="E51" t="s">
        <v>24</v>
      </c>
      <c r="F51" t="s">
        <v>196</v>
      </c>
      <c r="G51" t="s">
        <v>32</v>
      </c>
      <c r="H51">
        <v>53.472200000000001</v>
      </c>
      <c r="I51">
        <v>49.389299999999999</v>
      </c>
      <c r="J51">
        <v>57.5092</v>
      </c>
      <c r="K51">
        <v>47.045499999999997</v>
      </c>
      <c r="L51">
        <v>59.785699999999999</v>
      </c>
      <c r="M51">
        <v>308</v>
      </c>
      <c r="N51">
        <v>576</v>
      </c>
    </row>
    <row r="52" spans="1:14" x14ac:dyDescent="0.35">
      <c r="A52">
        <v>90632</v>
      </c>
      <c r="B52" t="s">
        <v>197</v>
      </c>
      <c r="C52" t="s">
        <v>67</v>
      </c>
      <c r="D52" t="s">
        <v>29</v>
      </c>
      <c r="E52" t="s">
        <v>24</v>
      </c>
      <c r="F52" t="s">
        <v>196</v>
      </c>
      <c r="G52" t="s">
        <v>32</v>
      </c>
      <c r="H52">
        <v>53.378399999999999</v>
      </c>
      <c r="I52">
        <v>48.729100000000003</v>
      </c>
      <c r="J52">
        <v>57.969700000000003</v>
      </c>
      <c r="K52">
        <v>46.068300000000001</v>
      </c>
      <c r="L52">
        <v>60.546199999999999</v>
      </c>
      <c r="M52">
        <v>237</v>
      </c>
      <c r="N52">
        <v>444</v>
      </c>
    </row>
    <row r="53" spans="1:14" x14ac:dyDescent="0.35">
      <c r="A53">
        <v>90632</v>
      </c>
      <c r="B53" t="s">
        <v>197</v>
      </c>
      <c r="C53" t="s">
        <v>82</v>
      </c>
      <c r="D53" t="s">
        <v>29</v>
      </c>
      <c r="E53" t="s">
        <v>24</v>
      </c>
      <c r="F53" t="s">
        <v>196</v>
      </c>
      <c r="G53" t="s">
        <v>32</v>
      </c>
      <c r="H53">
        <v>53.172199999999997</v>
      </c>
      <c r="I53">
        <v>49.363700000000001</v>
      </c>
      <c r="J53">
        <v>56.944099999999999</v>
      </c>
      <c r="K53">
        <v>47.176499999999997</v>
      </c>
      <c r="L53">
        <v>59.0777</v>
      </c>
      <c r="M53">
        <v>352</v>
      </c>
      <c r="N53">
        <v>662</v>
      </c>
    </row>
    <row r="54" spans="1:14" x14ac:dyDescent="0.35">
      <c r="A54">
        <v>90632</v>
      </c>
      <c r="B54" t="s">
        <v>197</v>
      </c>
      <c r="C54" t="s">
        <v>56</v>
      </c>
      <c r="D54" t="s">
        <v>29</v>
      </c>
      <c r="E54" t="s">
        <v>24</v>
      </c>
      <c r="F54" t="s">
        <v>196</v>
      </c>
      <c r="G54" t="s">
        <v>32</v>
      </c>
      <c r="H54">
        <v>53.168999999999997</v>
      </c>
      <c r="I54">
        <v>49.0578</v>
      </c>
      <c r="J54">
        <v>57.2376</v>
      </c>
      <c r="K54">
        <v>46.7</v>
      </c>
      <c r="L54">
        <v>59.533200000000001</v>
      </c>
      <c r="M54">
        <v>302</v>
      </c>
      <c r="N54">
        <v>568</v>
      </c>
    </row>
    <row r="55" spans="1:14" x14ac:dyDescent="0.35">
      <c r="A55">
        <v>90632</v>
      </c>
      <c r="B55" t="s">
        <v>197</v>
      </c>
      <c r="C55" t="s">
        <v>99</v>
      </c>
      <c r="D55" t="s">
        <v>29</v>
      </c>
      <c r="E55" t="s">
        <v>24</v>
      </c>
      <c r="F55" t="s">
        <v>196</v>
      </c>
      <c r="G55" t="s">
        <v>32</v>
      </c>
      <c r="H55">
        <v>53.0854</v>
      </c>
      <c r="I55">
        <v>51.136899999999997</v>
      </c>
      <c r="J55">
        <v>55.024700000000003</v>
      </c>
      <c r="K55">
        <v>50.0124</v>
      </c>
      <c r="L55">
        <v>56.135300000000001</v>
      </c>
      <c r="M55" s="1">
        <v>1342</v>
      </c>
      <c r="N55">
        <v>2528</v>
      </c>
    </row>
    <row r="56" spans="1:14" x14ac:dyDescent="0.35">
      <c r="A56">
        <v>90632</v>
      </c>
      <c r="B56" t="s">
        <v>197</v>
      </c>
      <c r="C56" t="s">
        <v>68</v>
      </c>
      <c r="D56" t="s">
        <v>29</v>
      </c>
      <c r="E56" t="s">
        <v>24</v>
      </c>
      <c r="F56" t="s">
        <v>196</v>
      </c>
      <c r="G56" t="s">
        <v>32</v>
      </c>
      <c r="H56">
        <v>53.0075</v>
      </c>
      <c r="I56">
        <v>50.0032</v>
      </c>
      <c r="J56">
        <v>55.990200000000002</v>
      </c>
      <c r="K56">
        <v>48.273499999999999</v>
      </c>
      <c r="L56">
        <v>57.688000000000002</v>
      </c>
      <c r="M56">
        <v>564</v>
      </c>
      <c r="N56">
        <v>1064</v>
      </c>
    </row>
    <row r="57" spans="1:14" x14ac:dyDescent="0.35">
      <c r="A57">
        <v>90632</v>
      </c>
      <c r="B57" t="s">
        <v>197</v>
      </c>
      <c r="C57" t="s">
        <v>76</v>
      </c>
      <c r="D57" t="s">
        <v>29</v>
      </c>
      <c r="E57" t="s">
        <v>24</v>
      </c>
      <c r="F57" t="s">
        <v>196</v>
      </c>
      <c r="G57" t="s">
        <v>32</v>
      </c>
      <c r="H57">
        <v>52.677</v>
      </c>
      <c r="I57">
        <v>48.605899999999998</v>
      </c>
      <c r="J57">
        <v>56.712800000000001</v>
      </c>
      <c r="K57">
        <v>46.273600000000002</v>
      </c>
      <c r="L57">
        <v>58.993600000000001</v>
      </c>
      <c r="M57">
        <v>305</v>
      </c>
      <c r="N57">
        <v>579</v>
      </c>
    </row>
    <row r="58" spans="1:14" x14ac:dyDescent="0.35">
      <c r="A58">
        <v>90632</v>
      </c>
      <c r="B58" t="s">
        <v>197</v>
      </c>
      <c r="C58" t="s">
        <v>65</v>
      </c>
      <c r="D58" t="s">
        <v>29</v>
      </c>
      <c r="E58" t="s">
        <v>24</v>
      </c>
      <c r="F58" t="s">
        <v>196</v>
      </c>
      <c r="G58" t="s">
        <v>32</v>
      </c>
      <c r="H58">
        <v>52.631599999999999</v>
      </c>
      <c r="I58">
        <v>49.543500000000002</v>
      </c>
      <c r="J58">
        <v>55.699599999999997</v>
      </c>
      <c r="K58">
        <v>47.767400000000002</v>
      </c>
      <c r="L58">
        <v>57.446399999999997</v>
      </c>
      <c r="M58">
        <v>530</v>
      </c>
      <c r="N58">
        <v>1007</v>
      </c>
    </row>
    <row r="59" spans="1:14" x14ac:dyDescent="0.35">
      <c r="A59">
        <v>90632</v>
      </c>
      <c r="B59" t="s">
        <v>197</v>
      </c>
      <c r="C59" t="s">
        <v>118</v>
      </c>
      <c r="D59" t="s">
        <v>29</v>
      </c>
      <c r="E59" t="s">
        <v>24</v>
      </c>
      <c r="F59" t="s">
        <v>196</v>
      </c>
      <c r="G59" t="s">
        <v>32</v>
      </c>
      <c r="H59">
        <v>52.553199999999997</v>
      </c>
      <c r="I59">
        <v>48.0364</v>
      </c>
      <c r="J59">
        <v>57.028599999999997</v>
      </c>
      <c r="K59">
        <v>45.455599999999997</v>
      </c>
      <c r="L59">
        <v>59.549100000000003</v>
      </c>
      <c r="M59">
        <v>247</v>
      </c>
      <c r="N59">
        <v>470</v>
      </c>
    </row>
    <row r="60" spans="1:14" x14ac:dyDescent="0.35">
      <c r="A60">
        <v>90632</v>
      </c>
      <c r="B60" t="s">
        <v>197</v>
      </c>
      <c r="C60" t="s">
        <v>106</v>
      </c>
      <c r="D60" t="s">
        <v>29</v>
      </c>
      <c r="E60" t="s">
        <v>24</v>
      </c>
      <c r="F60" t="s">
        <v>196</v>
      </c>
      <c r="G60" t="s">
        <v>32</v>
      </c>
      <c r="H60">
        <v>52.4</v>
      </c>
      <c r="I60">
        <v>48.020800000000001</v>
      </c>
      <c r="J60">
        <v>56.742600000000003</v>
      </c>
      <c r="K60">
        <v>45.517899999999997</v>
      </c>
      <c r="L60">
        <v>59.1922</v>
      </c>
      <c r="M60">
        <v>262</v>
      </c>
      <c r="N60">
        <v>500</v>
      </c>
    </row>
    <row r="61" spans="1:14" x14ac:dyDescent="0.35">
      <c r="A61">
        <v>90632</v>
      </c>
      <c r="B61" t="s">
        <v>197</v>
      </c>
      <c r="C61" t="s">
        <v>177</v>
      </c>
      <c r="D61" t="s">
        <v>29</v>
      </c>
      <c r="E61" t="s">
        <v>24</v>
      </c>
      <c r="F61" t="s">
        <v>196</v>
      </c>
      <c r="G61" t="s">
        <v>32</v>
      </c>
      <c r="H61">
        <v>52.339199999999998</v>
      </c>
      <c r="I61">
        <v>47.049300000000002</v>
      </c>
      <c r="J61">
        <v>57.577100000000002</v>
      </c>
      <c r="K61">
        <v>44.043599999999998</v>
      </c>
      <c r="L61">
        <v>60.507599999999996</v>
      </c>
      <c r="M61">
        <v>179</v>
      </c>
      <c r="N61">
        <v>342</v>
      </c>
    </row>
    <row r="62" spans="1:14" x14ac:dyDescent="0.35">
      <c r="A62">
        <v>90632</v>
      </c>
      <c r="B62" t="s">
        <v>197</v>
      </c>
      <c r="C62" t="s">
        <v>90</v>
      </c>
      <c r="D62" t="s">
        <v>29</v>
      </c>
      <c r="E62" t="s">
        <v>24</v>
      </c>
      <c r="F62" t="s">
        <v>196</v>
      </c>
      <c r="G62" t="s">
        <v>32</v>
      </c>
      <c r="H62">
        <v>52.300199999999997</v>
      </c>
      <c r="I62">
        <v>47.484200000000001</v>
      </c>
      <c r="J62">
        <v>57.073900000000002</v>
      </c>
      <c r="K62">
        <v>44.739400000000003</v>
      </c>
      <c r="L62">
        <v>59.757100000000001</v>
      </c>
      <c r="M62">
        <v>216</v>
      </c>
      <c r="N62">
        <v>413</v>
      </c>
    </row>
    <row r="63" spans="1:14" x14ac:dyDescent="0.35">
      <c r="A63">
        <v>90632</v>
      </c>
      <c r="B63" t="s">
        <v>197</v>
      </c>
      <c r="C63" t="s">
        <v>121</v>
      </c>
      <c r="D63" t="s">
        <v>29</v>
      </c>
      <c r="E63" t="s">
        <v>24</v>
      </c>
      <c r="F63" t="s">
        <v>196</v>
      </c>
      <c r="G63" t="s">
        <v>32</v>
      </c>
      <c r="H63">
        <v>52.295900000000003</v>
      </c>
      <c r="I63">
        <v>47.353200000000001</v>
      </c>
      <c r="J63">
        <v>57.194099999999999</v>
      </c>
      <c r="K63">
        <v>44.538600000000002</v>
      </c>
      <c r="L63">
        <v>59.944000000000003</v>
      </c>
      <c r="M63">
        <v>205</v>
      </c>
      <c r="N63">
        <v>392</v>
      </c>
    </row>
    <row r="64" spans="1:14" x14ac:dyDescent="0.35">
      <c r="A64">
        <v>90632</v>
      </c>
      <c r="B64" t="s">
        <v>197</v>
      </c>
      <c r="C64" t="s">
        <v>55</v>
      </c>
      <c r="D64" t="s">
        <v>29</v>
      </c>
      <c r="E64" t="s">
        <v>24</v>
      </c>
      <c r="F64" t="s">
        <v>196</v>
      </c>
      <c r="G64" t="s">
        <v>32</v>
      </c>
      <c r="H64">
        <v>52.215200000000003</v>
      </c>
      <c r="I64">
        <v>46.714300000000001</v>
      </c>
      <c r="J64">
        <v>57.6629</v>
      </c>
      <c r="K64">
        <v>43.594799999999999</v>
      </c>
      <c r="L64">
        <v>60.705599999999997</v>
      </c>
      <c r="M64">
        <v>165</v>
      </c>
      <c r="N64">
        <v>316</v>
      </c>
    </row>
    <row r="65" spans="1:14" x14ac:dyDescent="0.35">
      <c r="A65">
        <v>90632</v>
      </c>
      <c r="B65" t="s">
        <v>197</v>
      </c>
      <c r="C65" t="s">
        <v>73</v>
      </c>
      <c r="D65" t="s">
        <v>29</v>
      </c>
      <c r="E65" t="s">
        <v>24</v>
      </c>
      <c r="F65" t="s">
        <v>196</v>
      </c>
      <c r="G65" t="s">
        <v>32</v>
      </c>
      <c r="H65">
        <v>52.068100000000001</v>
      </c>
      <c r="I65">
        <v>48.651299999999999</v>
      </c>
      <c r="J65">
        <v>55.465699999999998</v>
      </c>
      <c r="K65">
        <v>46.6907</v>
      </c>
      <c r="L65">
        <v>57.398000000000003</v>
      </c>
      <c r="M65">
        <v>428</v>
      </c>
      <c r="N65">
        <v>822</v>
      </c>
    </row>
    <row r="66" spans="1:14" x14ac:dyDescent="0.35">
      <c r="A66">
        <v>90632</v>
      </c>
      <c r="B66" t="s">
        <v>197</v>
      </c>
      <c r="C66" t="s">
        <v>156</v>
      </c>
      <c r="D66" t="s">
        <v>29</v>
      </c>
      <c r="E66" t="s">
        <v>24</v>
      </c>
      <c r="F66" t="s">
        <v>196</v>
      </c>
      <c r="G66" t="s">
        <v>32</v>
      </c>
      <c r="H66">
        <v>52.040799999999997</v>
      </c>
      <c r="I66">
        <v>45.075000000000003</v>
      </c>
      <c r="J66">
        <v>58.928199999999997</v>
      </c>
      <c r="K66">
        <v>41.177399999999999</v>
      </c>
      <c r="L66">
        <v>62.714599999999997</v>
      </c>
      <c r="M66">
        <v>102</v>
      </c>
      <c r="N66">
        <v>196</v>
      </c>
    </row>
    <row r="67" spans="1:14" x14ac:dyDescent="0.35">
      <c r="A67">
        <v>90632</v>
      </c>
      <c r="B67" t="s">
        <v>197</v>
      </c>
      <c r="C67" t="s">
        <v>101</v>
      </c>
      <c r="D67" t="s">
        <v>29</v>
      </c>
      <c r="E67" t="s">
        <v>24</v>
      </c>
      <c r="F67" t="s">
        <v>196</v>
      </c>
      <c r="G67" t="s">
        <v>32</v>
      </c>
      <c r="H67">
        <v>51.704500000000003</v>
      </c>
      <c r="I67">
        <v>48.014000000000003</v>
      </c>
      <c r="J67">
        <v>55.376600000000003</v>
      </c>
      <c r="K67">
        <v>45.900799999999997</v>
      </c>
      <c r="L67">
        <v>57.462699999999998</v>
      </c>
      <c r="M67">
        <v>364</v>
      </c>
      <c r="N67">
        <v>704</v>
      </c>
    </row>
    <row r="68" spans="1:14" x14ac:dyDescent="0.35">
      <c r="A68">
        <v>90632</v>
      </c>
      <c r="B68" t="s">
        <v>197</v>
      </c>
      <c r="C68" t="s">
        <v>139</v>
      </c>
      <c r="D68" t="s">
        <v>29</v>
      </c>
      <c r="E68" t="s">
        <v>24</v>
      </c>
      <c r="F68" t="s">
        <v>196</v>
      </c>
      <c r="G68" t="s">
        <v>32</v>
      </c>
      <c r="H68">
        <v>51.658799999999999</v>
      </c>
      <c r="I68">
        <v>44.946800000000003</v>
      </c>
      <c r="J68">
        <v>58.311399999999999</v>
      </c>
      <c r="K68">
        <v>41.188200000000002</v>
      </c>
      <c r="L68">
        <v>61.985700000000001</v>
      </c>
      <c r="M68">
        <v>109</v>
      </c>
      <c r="N68">
        <v>211</v>
      </c>
    </row>
    <row r="69" spans="1:14" x14ac:dyDescent="0.35">
      <c r="A69">
        <v>90632</v>
      </c>
      <c r="B69" t="s">
        <v>197</v>
      </c>
      <c r="C69" t="s">
        <v>80</v>
      </c>
      <c r="D69" t="s">
        <v>29</v>
      </c>
      <c r="E69" t="s">
        <v>24</v>
      </c>
      <c r="F69" t="s">
        <v>196</v>
      </c>
      <c r="G69" t="s">
        <v>32</v>
      </c>
      <c r="H69">
        <v>51.542900000000003</v>
      </c>
      <c r="I69">
        <v>48.231999999999999</v>
      </c>
      <c r="J69">
        <v>54.840200000000003</v>
      </c>
      <c r="K69">
        <v>46.333500000000001</v>
      </c>
      <c r="L69">
        <v>56.718899999999998</v>
      </c>
      <c r="M69">
        <v>451</v>
      </c>
      <c r="N69">
        <v>875</v>
      </c>
    </row>
    <row r="70" spans="1:14" x14ac:dyDescent="0.35">
      <c r="A70">
        <v>90632</v>
      </c>
      <c r="B70" t="s">
        <v>197</v>
      </c>
      <c r="C70" t="s">
        <v>102</v>
      </c>
      <c r="D70" t="s">
        <v>29</v>
      </c>
      <c r="E70" t="s">
        <v>24</v>
      </c>
      <c r="F70" t="s">
        <v>196</v>
      </c>
      <c r="G70" t="s">
        <v>32</v>
      </c>
      <c r="H70">
        <v>51.5152</v>
      </c>
      <c r="I70">
        <v>45.508200000000002</v>
      </c>
      <c r="J70">
        <v>57.478700000000003</v>
      </c>
      <c r="K70">
        <v>42.124299999999998</v>
      </c>
      <c r="L70">
        <v>60.800199999999997</v>
      </c>
      <c r="M70">
        <v>136</v>
      </c>
      <c r="N70">
        <v>264</v>
      </c>
    </row>
    <row r="71" spans="1:14" x14ac:dyDescent="0.35">
      <c r="A71">
        <v>90632</v>
      </c>
      <c r="B71" t="s">
        <v>197</v>
      </c>
      <c r="C71" t="s">
        <v>124</v>
      </c>
      <c r="D71" t="s">
        <v>29</v>
      </c>
      <c r="E71" t="s">
        <v>24</v>
      </c>
      <c r="F71" t="s">
        <v>196</v>
      </c>
      <c r="G71" t="s">
        <v>32</v>
      </c>
      <c r="H71">
        <v>51.502099999999999</v>
      </c>
      <c r="I71">
        <v>47.799100000000003</v>
      </c>
      <c r="J71">
        <v>55.188800000000001</v>
      </c>
      <c r="K71">
        <v>45.6798</v>
      </c>
      <c r="L71">
        <v>57.283999999999999</v>
      </c>
      <c r="M71">
        <v>360</v>
      </c>
      <c r="N71">
        <v>699</v>
      </c>
    </row>
    <row r="72" spans="1:14" x14ac:dyDescent="0.35">
      <c r="A72">
        <v>90632</v>
      </c>
      <c r="B72" t="s">
        <v>197</v>
      </c>
      <c r="C72" t="s">
        <v>43</v>
      </c>
      <c r="D72" t="s">
        <v>29</v>
      </c>
      <c r="E72" t="s">
        <v>24</v>
      </c>
      <c r="F72" t="s">
        <v>196</v>
      </c>
      <c r="G72" t="s">
        <v>32</v>
      </c>
      <c r="H72">
        <v>51.026400000000002</v>
      </c>
      <c r="I72">
        <v>45.738799999999998</v>
      </c>
      <c r="J72">
        <v>56.2911</v>
      </c>
      <c r="K72">
        <v>42.747599999999998</v>
      </c>
      <c r="L72">
        <v>59.249299999999998</v>
      </c>
      <c r="M72">
        <v>174</v>
      </c>
      <c r="N72">
        <v>341</v>
      </c>
    </row>
    <row r="73" spans="1:14" x14ac:dyDescent="0.35">
      <c r="A73">
        <v>90632</v>
      </c>
      <c r="B73" t="s">
        <v>197</v>
      </c>
      <c r="C73" t="s">
        <v>105</v>
      </c>
      <c r="D73" t="s">
        <v>29</v>
      </c>
      <c r="E73" t="s">
        <v>24</v>
      </c>
      <c r="F73" t="s">
        <v>196</v>
      </c>
      <c r="G73" t="s">
        <v>32</v>
      </c>
      <c r="H73">
        <v>51.007899999999999</v>
      </c>
      <c r="I73">
        <v>48.108800000000002</v>
      </c>
      <c r="J73">
        <v>53.900199999999998</v>
      </c>
      <c r="K73">
        <v>46.4452</v>
      </c>
      <c r="L73">
        <v>55.553800000000003</v>
      </c>
      <c r="M73">
        <v>582</v>
      </c>
      <c r="N73">
        <v>1141</v>
      </c>
    </row>
    <row r="74" spans="1:14" x14ac:dyDescent="0.35">
      <c r="A74">
        <v>90632</v>
      </c>
      <c r="B74" t="s">
        <v>197</v>
      </c>
      <c r="C74" t="s">
        <v>100</v>
      </c>
      <c r="D74" t="s">
        <v>29</v>
      </c>
      <c r="E74" t="s">
        <v>24</v>
      </c>
      <c r="F74" t="s">
        <v>196</v>
      </c>
      <c r="G74" t="s">
        <v>32</v>
      </c>
      <c r="H74">
        <v>50.915799999999997</v>
      </c>
      <c r="I74">
        <v>45.014200000000002</v>
      </c>
      <c r="J74">
        <v>56.791899999999998</v>
      </c>
      <c r="K74">
        <v>41.694200000000002</v>
      </c>
      <c r="L74">
        <v>60.075400000000002</v>
      </c>
      <c r="M74">
        <v>139</v>
      </c>
      <c r="N74">
        <v>273</v>
      </c>
    </row>
    <row r="75" spans="1:14" x14ac:dyDescent="0.35">
      <c r="A75">
        <v>90632</v>
      </c>
      <c r="B75" t="s">
        <v>197</v>
      </c>
      <c r="C75" t="s">
        <v>115</v>
      </c>
      <c r="D75" t="s">
        <v>29</v>
      </c>
      <c r="E75" t="s">
        <v>24</v>
      </c>
      <c r="F75" t="s">
        <v>196</v>
      </c>
      <c r="G75" t="s">
        <v>32</v>
      </c>
      <c r="H75">
        <v>50.749499999999998</v>
      </c>
      <c r="I75">
        <v>46.227600000000002</v>
      </c>
      <c r="J75">
        <v>55.259099999999997</v>
      </c>
      <c r="K75">
        <v>43.657299999999999</v>
      </c>
      <c r="L75">
        <v>57.811599999999999</v>
      </c>
      <c r="M75">
        <v>237</v>
      </c>
      <c r="N75">
        <v>467</v>
      </c>
    </row>
    <row r="76" spans="1:14" x14ac:dyDescent="0.35">
      <c r="A76">
        <v>90632</v>
      </c>
      <c r="B76" t="s">
        <v>197</v>
      </c>
      <c r="C76" t="s">
        <v>120</v>
      </c>
      <c r="D76" t="s">
        <v>29</v>
      </c>
      <c r="E76" t="s">
        <v>24</v>
      </c>
      <c r="F76" t="s">
        <v>196</v>
      </c>
      <c r="G76" t="s">
        <v>32</v>
      </c>
      <c r="H76">
        <v>50.697699999999998</v>
      </c>
      <c r="I76">
        <v>44.061599999999999</v>
      </c>
      <c r="J76">
        <v>57.3093</v>
      </c>
      <c r="K76">
        <v>40.357900000000001</v>
      </c>
      <c r="L76">
        <v>60.978099999999998</v>
      </c>
      <c r="M76">
        <v>109</v>
      </c>
      <c r="N76">
        <v>215</v>
      </c>
    </row>
    <row r="77" spans="1:14" x14ac:dyDescent="0.35">
      <c r="A77">
        <v>90632</v>
      </c>
      <c r="B77" t="s">
        <v>197</v>
      </c>
      <c r="C77" t="s">
        <v>42</v>
      </c>
      <c r="D77" t="s">
        <v>29</v>
      </c>
      <c r="E77" t="s">
        <v>24</v>
      </c>
      <c r="F77" t="s">
        <v>196</v>
      </c>
      <c r="G77" t="s">
        <v>32</v>
      </c>
      <c r="H77">
        <v>50.670099999999998</v>
      </c>
      <c r="I77">
        <v>48.92</v>
      </c>
      <c r="J77">
        <v>52.418500000000002</v>
      </c>
      <c r="K77">
        <v>47.912500000000001</v>
      </c>
      <c r="L77">
        <v>53.4236</v>
      </c>
      <c r="M77" s="1">
        <v>1588</v>
      </c>
      <c r="N77">
        <v>3134</v>
      </c>
    </row>
    <row r="78" spans="1:14" x14ac:dyDescent="0.35">
      <c r="A78">
        <v>90632</v>
      </c>
      <c r="B78" t="s">
        <v>197</v>
      </c>
      <c r="C78" t="s">
        <v>137</v>
      </c>
      <c r="D78" t="s">
        <v>29</v>
      </c>
      <c r="E78" t="s">
        <v>24</v>
      </c>
      <c r="F78" t="s">
        <v>196</v>
      </c>
      <c r="G78" t="s">
        <v>32</v>
      </c>
      <c r="H78">
        <v>50.566899999999997</v>
      </c>
      <c r="I78">
        <v>45.915900000000001</v>
      </c>
      <c r="J78">
        <v>55.208100000000002</v>
      </c>
      <c r="K78">
        <v>43.276000000000003</v>
      </c>
      <c r="L78">
        <v>57.8337</v>
      </c>
      <c r="M78">
        <v>223</v>
      </c>
      <c r="N78">
        <v>441</v>
      </c>
    </row>
    <row r="79" spans="1:14" x14ac:dyDescent="0.35">
      <c r="A79">
        <v>90632</v>
      </c>
      <c r="B79" t="s">
        <v>197</v>
      </c>
      <c r="C79" t="s">
        <v>70</v>
      </c>
      <c r="D79" t="s">
        <v>29</v>
      </c>
      <c r="E79" t="s">
        <v>24</v>
      </c>
      <c r="F79" t="s">
        <v>196</v>
      </c>
      <c r="G79" t="s">
        <v>32</v>
      </c>
      <c r="H79">
        <v>50.540500000000002</v>
      </c>
      <c r="I79">
        <v>46.944800000000001</v>
      </c>
      <c r="J79">
        <v>54.130699999999997</v>
      </c>
      <c r="K79">
        <v>44.890300000000003</v>
      </c>
      <c r="L79">
        <v>56.177</v>
      </c>
      <c r="M79">
        <v>374</v>
      </c>
      <c r="N79">
        <v>740</v>
      </c>
    </row>
    <row r="80" spans="1:14" x14ac:dyDescent="0.35">
      <c r="A80">
        <v>90632</v>
      </c>
      <c r="B80" t="s">
        <v>197</v>
      </c>
      <c r="C80" t="s">
        <v>58</v>
      </c>
      <c r="D80" t="s">
        <v>29</v>
      </c>
      <c r="E80" t="s">
        <v>24</v>
      </c>
      <c r="F80" t="s">
        <v>196</v>
      </c>
      <c r="G80" t="s">
        <v>32</v>
      </c>
      <c r="H80">
        <v>50.488999999999997</v>
      </c>
      <c r="I80">
        <v>47.0685</v>
      </c>
      <c r="J80">
        <v>53.905000000000001</v>
      </c>
      <c r="K80">
        <v>45.112499999999997</v>
      </c>
      <c r="L80">
        <v>55.854199999999999</v>
      </c>
      <c r="M80">
        <v>413</v>
      </c>
      <c r="N80">
        <v>818</v>
      </c>
    </row>
    <row r="81" spans="1:14" x14ac:dyDescent="0.35">
      <c r="A81">
        <v>90632</v>
      </c>
      <c r="B81" t="s">
        <v>197</v>
      </c>
      <c r="C81" t="s">
        <v>147</v>
      </c>
      <c r="D81" t="s">
        <v>29</v>
      </c>
      <c r="E81" t="s">
        <v>24</v>
      </c>
      <c r="F81" t="s">
        <v>196</v>
      </c>
      <c r="G81" t="s">
        <v>32</v>
      </c>
      <c r="H81">
        <v>50.470199999999998</v>
      </c>
      <c r="I81">
        <v>45.010800000000003</v>
      </c>
      <c r="J81">
        <v>55.918500000000002</v>
      </c>
      <c r="K81">
        <v>41.932600000000001</v>
      </c>
      <c r="L81">
        <v>58.980499999999999</v>
      </c>
      <c r="M81">
        <v>161</v>
      </c>
      <c r="N81">
        <v>319</v>
      </c>
    </row>
    <row r="82" spans="1:14" x14ac:dyDescent="0.35">
      <c r="A82">
        <v>90632</v>
      </c>
      <c r="B82" t="s">
        <v>197</v>
      </c>
      <c r="C82" t="s">
        <v>110</v>
      </c>
      <c r="D82" t="s">
        <v>29</v>
      </c>
      <c r="E82" t="s">
        <v>24</v>
      </c>
      <c r="F82" t="s">
        <v>196</v>
      </c>
      <c r="G82" t="s">
        <v>32</v>
      </c>
      <c r="H82">
        <v>50.416699999999999</v>
      </c>
      <c r="I82">
        <v>44.134599999999999</v>
      </c>
      <c r="J82">
        <v>56.685600000000001</v>
      </c>
      <c r="K82">
        <v>40.620100000000001</v>
      </c>
      <c r="L82">
        <v>60.181399999999996</v>
      </c>
      <c r="M82">
        <v>121</v>
      </c>
      <c r="N82">
        <v>240</v>
      </c>
    </row>
    <row r="83" spans="1:14" x14ac:dyDescent="0.35">
      <c r="A83">
        <v>90632</v>
      </c>
      <c r="B83" t="s">
        <v>197</v>
      </c>
      <c r="C83" t="s">
        <v>38</v>
      </c>
      <c r="D83" t="s">
        <v>29</v>
      </c>
      <c r="E83" t="s">
        <v>24</v>
      </c>
      <c r="F83" t="s">
        <v>196</v>
      </c>
      <c r="G83" t="s">
        <v>32</v>
      </c>
      <c r="H83">
        <v>50.355699999999999</v>
      </c>
      <c r="I83">
        <v>47.6036</v>
      </c>
      <c r="J83">
        <v>53.105699999999999</v>
      </c>
      <c r="K83">
        <v>46.025199999999998</v>
      </c>
      <c r="L83">
        <v>54.680900000000001</v>
      </c>
      <c r="M83">
        <v>637</v>
      </c>
      <c r="N83">
        <v>1265</v>
      </c>
    </row>
    <row r="84" spans="1:14" x14ac:dyDescent="0.35">
      <c r="A84">
        <v>90632</v>
      </c>
      <c r="B84" t="s">
        <v>197</v>
      </c>
      <c r="C84" t="s">
        <v>60</v>
      </c>
      <c r="D84" t="s">
        <v>29</v>
      </c>
      <c r="E84" t="s">
        <v>24</v>
      </c>
      <c r="F84" t="s">
        <v>196</v>
      </c>
      <c r="G84" t="s">
        <v>32</v>
      </c>
      <c r="H84">
        <v>50.351500000000001</v>
      </c>
      <c r="I84">
        <v>47.450299999999999</v>
      </c>
      <c r="J84">
        <v>53.250399999999999</v>
      </c>
      <c r="K84">
        <v>45.787500000000001</v>
      </c>
      <c r="L84">
        <v>54.909599999999998</v>
      </c>
      <c r="M84">
        <v>573</v>
      </c>
      <c r="N84">
        <v>1138</v>
      </c>
    </row>
    <row r="85" spans="1:14" x14ac:dyDescent="0.35">
      <c r="A85">
        <v>90632</v>
      </c>
      <c r="B85" t="s">
        <v>197</v>
      </c>
      <c r="C85" t="s">
        <v>148</v>
      </c>
      <c r="D85" t="s">
        <v>29</v>
      </c>
      <c r="E85" t="s">
        <v>24</v>
      </c>
      <c r="F85" t="s">
        <v>196</v>
      </c>
      <c r="G85" t="s">
        <v>32</v>
      </c>
      <c r="H85">
        <v>50.330300000000001</v>
      </c>
      <c r="I85">
        <v>48.275100000000002</v>
      </c>
      <c r="J85">
        <v>52.384300000000003</v>
      </c>
      <c r="K85">
        <v>47.093400000000003</v>
      </c>
      <c r="L85">
        <v>53.564300000000003</v>
      </c>
      <c r="M85" s="1">
        <v>1143</v>
      </c>
      <c r="N85">
        <v>2271</v>
      </c>
    </row>
    <row r="86" spans="1:14" x14ac:dyDescent="0.35">
      <c r="A86">
        <v>90632</v>
      </c>
      <c r="B86" t="s">
        <v>197</v>
      </c>
      <c r="C86" t="s">
        <v>49</v>
      </c>
      <c r="D86" t="s">
        <v>29</v>
      </c>
      <c r="E86" t="s">
        <v>24</v>
      </c>
      <c r="F86" t="s">
        <v>196</v>
      </c>
      <c r="G86" t="s">
        <v>32</v>
      </c>
      <c r="H86">
        <v>50.240299999999998</v>
      </c>
      <c r="I86">
        <v>47.977699999999999</v>
      </c>
      <c r="J86">
        <v>52.501800000000003</v>
      </c>
      <c r="K86">
        <v>46.677900000000001</v>
      </c>
      <c r="L86">
        <v>53.8001</v>
      </c>
      <c r="M86">
        <v>941</v>
      </c>
      <c r="N86">
        <v>1873</v>
      </c>
    </row>
    <row r="87" spans="1:14" x14ac:dyDescent="0.35">
      <c r="A87">
        <v>90632</v>
      </c>
      <c r="B87" t="s">
        <v>197</v>
      </c>
      <c r="C87" t="s">
        <v>41</v>
      </c>
      <c r="D87" t="s">
        <v>29</v>
      </c>
      <c r="E87" t="s">
        <v>24</v>
      </c>
      <c r="F87" t="s">
        <v>196</v>
      </c>
      <c r="G87" t="s">
        <v>32</v>
      </c>
      <c r="H87">
        <v>50.059899999999999</v>
      </c>
      <c r="I87">
        <v>46.676000000000002</v>
      </c>
      <c r="J87">
        <v>53.443199999999997</v>
      </c>
      <c r="K87">
        <v>44.742400000000004</v>
      </c>
      <c r="L87">
        <v>55.375999999999998</v>
      </c>
      <c r="M87">
        <v>418</v>
      </c>
      <c r="N87">
        <v>835</v>
      </c>
    </row>
    <row r="88" spans="1:14" x14ac:dyDescent="0.35">
      <c r="A88">
        <v>90632</v>
      </c>
      <c r="B88" t="s">
        <v>197</v>
      </c>
      <c r="C88" t="s">
        <v>140</v>
      </c>
      <c r="D88" t="s">
        <v>29</v>
      </c>
      <c r="E88" t="s">
        <v>24</v>
      </c>
      <c r="F88" t="s">
        <v>196</v>
      </c>
      <c r="G88" t="s">
        <v>32</v>
      </c>
      <c r="H88">
        <v>50</v>
      </c>
      <c r="I88">
        <v>47.39</v>
      </c>
      <c r="J88">
        <v>52.61</v>
      </c>
      <c r="K88">
        <v>45.8932</v>
      </c>
      <c r="L88">
        <v>54.1068</v>
      </c>
      <c r="M88">
        <v>703</v>
      </c>
      <c r="N88">
        <v>1406</v>
      </c>
    </row>
    <row r="89" spans="1:14" x14ac:dyDescent="0.35">
      <c r="A89">
        <v>90632</v>
      </c>
      <c r="B89" t="s">
        <v>197</v>
      </c>
      <c r="C89" t="s">
        <v>162</v>
      </c>
      <c r="D89" t="s">
        <v>29</v>
      </c>
      <c r="E89" t="s">
        <v>24</v>
      </c>
      <c r="F89" t="s">
        <v>196</v>
      </c>
      <c r="G89" t="s">
        <v>32</v>
      </c>
      <c r="H89">
        <v>49.710999999999999</v>
      </c>
      <c r="I89">
        <v>42.348100000000002</v>
      </c>
      <c r="J89">
        <v>57.086399999999998</v>
      </c>
      <c r="K89">
        <v>38.290399999999998</v>
      </c>
      <c r="L89">
        <v>61.161799999999999</v>
      </c>
      <c r="M89">
        <v>86</v>
      </c>
      <c r="N89">
        <v>173</v>
      </c>
    </row>
    <row r="90" spans="1:14" x14ac:dyDescent="0.35">
      <c r="A90">
        <v>90632</v>
      </c>
      <c r="B90" t="s">
        <v>197</v>
      </c>
      <c r="C90" t="s">
        <v>61</v>
      </c>
      <c r="D90" t="s">
        <v>29</v>
      </c>
      <c r="E90" t="s">
        <v>24</v>
      </c>
      <c r="F90" t="s">
        <v>196</v>
      </c>
      <c r="G90" t="s">
        <v>32</v>
      </c>
      <c r="H90">
        <v>49.693300000000001</v>
      </c>
      <c r="I90">
        <v>44.301000000000002</v>
      </c>
      <c r="J90">
        <v>55.092599999999997</v>
      </c>
      <c r="K90">
        <v>41.267200000000003</v>
      </c>
      <c r="L90">
        <v>58.136800000000001</v>
      </c>
      <c r="M90">
        <v>162</v>
      </c>
      <c r="N90">
        <v>326</v>
      </c>
    </row>
    <row r="91" spans="1:14" x14ac:dyDescent="0.35">
      <c r="A91">
        <v>90632</v>
      </c>
      <c r="B91" t="s">
        <v>197</v>
      </c>
      <c r="C91" t="s">
        <v>91</v>
      </c>
      <c r="D91" t="s">
        <v>29</v>
      </c>
      <c r="E91" t="s">
        <v>24</v>
      </c>
      <c r="F91" t="s">
        <v>196</v>
      </c>
      <c r="G91" t="s">
        <v>32</v>
      </c>
      <c r="H91">
        <v>49.520800000000001</v>
      </c>
      <c r="I91">
        <v>44.021299999999997</v>
      </c>
      <c r="J91">
        <v>55.031799999999997</v>
      </c>
      <c r="K91">
        <v>40.932099999999998</v>
      </c>
      <c r="L91">
        <v>58.137799999999999</v>
      </c>
      <c r="M91">
        <v>155</v>
      </c>
      <c r="N91">
        <v>313</v>
      </c>
    </row>
    <row r="92" spans="1:14" x14ac:dyDescent="0.35">
      <c r="A92">
        <v>90632</v>
      </c>
      <c r="B92" t="s">
        <v>197</v>
      </c>
      <c r="C92" t="s">
        <v>34</v>
      </c>
      <c r="D92" t="s">
        <v>29</v>
      </c>
      <c r="E92" t="s">
        <v>24</v>
      </c>
      <c r="F92" t="s">
        <v>196</v>
      </c>
      <c r="G92" t="s">
        <v>32</v>
      </c>
      <c r="H92">
        <v>49.273400000000002</v>
      </c>
      <c r="I92">
        <v>45.724699999999999</v>
      </c>
      <c r="J92">
        <v>52.829500000000003</v>
      </c>
      <c r="K92">
        <v>43.702399999999997</v>
      </c>
      <c r="L92">
        <v>54.8626</v>
      </c>
      <c r="M92">
        <v>373</v>
      </c>
      <c r="N92">
        <v>757</v>
      </c>
    </row>
    <row r="93" spans="1:14" x14ac:dyDescent="0.35">
      <c r="A93">
        <v>90632</v>
      </c>
      <c r="B93" t="s">
        <v>197</v>
      </c>
      <c r="C93" t="s">
        <v>143</v>
      </c>
      <c r="D93" t="s">
        <v>29</v>
      </c>
      <c r="E93" t="s">
        <v>24</v>
      </c>
      <c r="F93" t="s">
        <v>196</v>
      </c>
      <c r="G93" t="s">
        <v>32</v>
      </c>
      <c r="H93">
        <v>49.005200000000002</v>
      </c>
      <c r="I93">
        <v>45.845100000000002</v>
      </c>
      <c r="J93">
        <v>52.173400000000001</v>
      </c>
      <c r="K93">
        <v>44.040999999999997</v>
      </c>
      <c r="L93">
        <v>53.989199999999997</v>
      </c>
      <c r="M93">
        <v>468</v>
      </c>
      <c r="N93">
        <v>955</v>
      </c>
    </row>
    <row r="94" spans="1:14" x14ac:dyDescent="0.35">
      <c r="A94">
        <v>90632</v>
      </c>
      <c r="B94" t="s">
        <v>197</v>
      </c>
      <c r="C94" t="s">
        <v>92</v>
      </c>
      <c r="D94" t="s">
        <v>29</v>
      </c>
      <c r="E94" t="s">
        <v>24</v>
      </c>
      <c r="F94" t="s">
        <v>196</v>
      </c>
      <c r="G94" t="s">
        <v>32</v>
      </c>
      <c r="H94">
        <v>48.7654</v>
      </c>
      <c r="I94">
        <v>44.935499999999998</v>
      </c>
      <c r="J94">
        <v>52.609900000000003</v>
      </c>
      <c r="K94">
        <v>42.759599999999999</v>
      </c>
      <c r="L94">
        <v>54.807099999999998</v>
      </c>
      <c r="M94">
        <v>316</v>
      </c>
      <c r="N94">
        <v>648</v>
      </c>
    </row>
    <row r="95" spans="1:14" x14ac:dyDescent="0.35">
      <c r="A95">
        <v>90632</v>
      </c>
      <c r="B95" t="s">
        <v>197</v>
      </c>
      <c r="C95" t="s">
        <v>154</v>
      </c>
      <c r="D95" t="s">
        <v>29</v>
      </c>
      <c r="E95" t="s">
        <v>24</v>
      </c>
      <c r="F95" t="s">
        <v>196</v>
      </c>
      <c r="G95" t="s">
        <v>32</v>
      </c>
      <c r="H95">
        <v>48.7395</v>
      </c>
      <c r="I95">
        <v>42.459899999999998</v>
      </c>
      <c r="J95">
        <v>55.059199999999997</v>
      </c>
      <c r="K95">
        <v>38.970700000000001</v>
      </c>
      <c r="L95">
        <v>58.605499999999999</v>
      </c>
      <c r="M95">
        <v>116</v>
      </c>
      <c r="N95">
        <v>238</v>
      </c>
    </row>
    <row r="96" spans="1:14" x14ac:dyDescent="0.35">
      <c r="A96">
        <v>90632</v>
      </c>
      <c r="B96" t="s">
        <v>197</v>
      </c>
      <c r="C96" t="s">
        <v>168</v>
      </c>
      <c r="D96" t="s">
        <v>29</v>
      </c>
      <c r="E96" t="s">
        <v>24</v>
      </c>
      <c r="F96" t="s">
        <v>196</v>
      </c>
      <c r="G96" t="s">
        <v>32</v>
      </c>
      <c r="H96">
        <v>48.736499999999999</v>
      </c>
      <c r="I96">
        <v>42.907899999999998</v>
      </c>
      <c r="J96">
        <v>54.599600000000002</v>
      </c>
      <c r="K96">
        <v>39.653700000000001</v>
      </c>
      <c r="L96">
        <v>57.903500000000001</v>
      </c>
      <c r="M96">
        <v>135</v>
      </c>
      <c r="N96">
        <v>277</v>
      </c>
    </row>
    <row r="97" spans="1:14" x14ac:dyDescent="0.35">
      <c r="A97">
        <v>90632</v>
      </c>
      <c r="B97" t="s">
        <v>197</v>
      </c>
      <c r="C97" t="s">
        <v>93</v>
      </c>
      <c r="D97" t="s">
        <v>29</v>
      </c>
      <c r="E97" t="s">
        <v>24</v>
      </c>
      <c r="F97" t="s">
        <v>196</v>
      </c>
      <c r="G97" t="s">
        <v>32</v>
      </c>
      <c r="H97">
        <v>48.601399999999998</v>
      </c>
      <c r="I97">
        <v>42.865900000000003</v>
      </c>
      <c r="J97">
        <v>54.373899999999999</v>
      </c>
      <c r="K97">
        <v>39.662300000000002</v>
      </c>
      <c r="L97">
        <v>57.630800000000001</v>
      </c>
      <c r="M97">
        <v>139</v>
      </c>
      <c r="N97">
        <v>286</v>
      </c>
    </row>
    <row r="98" spans="1:14" x14ac:dyDescent="0.35">
      <c r="A98">
        <v>90632</v>
      </c>
      <c r="B98" t="s">
        <v>197</v>
      </c>
      <c r="C98" t="s">
        <v>50</v>
      </c>
      <c r="D98" t="s">
        <v>29</v>
      </c>
      <c r="E98" t="s">
        <v>24</v>
      </c>
      <c r="F98" t="s">
        <v>196</v>
      </c>
      <c r="G98" t="s">
        <v>32</v>
      </c>
      <c r="H98">
        <v>48.581600000000002</v>
      </c>
      <c r="I98">
        <v>42.806600000000003</v>
      </c>
      <c r="J98">
        <v>54.3947</v>
      </c>
      <c r="K98">
        <v>39.582500000000003</v>
      </c>
      <c r="L98">
        <v>57.6736</v>
      </c>
      <c r="M98">
        <v>137</v>
      </c>
      <c r="N98">
        <v>282</v>
      </c>
    </row>
    <row r="99" spans="1:14" x14ac:dyDescent="0.35">
      <c r="A99">
        <v>90632</v>
      </c>
      <c r="B99" t="s">
        <v>197</v>
      </c>
      <c r="C99" t="s">
        <v>126</v>
      </c>
      <c r="D99" t="s">
        <v>29</v>
      </c>
      <c r="E99" t="s">
        <v>24</v>
      </c>
      <c r="F99" t="s">
        <v>196</v>
      </c>
      <c r="G99" t="s">
        <v>32</v>
      </c>
      <c r="H99">
        <v>48.4848</v>
      </c>
      <c r="I99">
        <v>43.790100000000002</v>
      </c>
      <c r="J99">
        <v>53.206499999999998</v>
      </c>
      <c r="K99">
        <v>41.142899999999997</v>
      </c>
      <c r="L99">
        <v>55.892800000000001</v>
      </c>
      <c r="M99">
        <v>208</v>
      </c>
      <c r="N99">
        <v>429</v>
      </c>
    </row>
    <row r="100" spans="1:14" x14ac:dyDescent="0.35">
      <c r="A100">
        <v>90632</v>
      </c>
      <c r="B100" t="s">
        <v>197</v>
      </c>
      <c r="C100" t="s">
        <v>141</v>
      </c>
      <c r="D100" t="s">
        <v>29</v>
      </c>
      <c r="E100" t="s">
        <v>24</v>
      </c>
      <c r="F100" t="s">
        <v>196</v>
      </c>
      <c r="G100" t="s">
        <v>32</v>
      </c>
      <c r="H100">
        <v>48.441600000000001</v>
      </c>
      <c r="I100">
        <v>44.928199999999997</v>
      </c>
      <c r="J100">
        <v>51.970399999999998</v>
      </c>
      <c r="K100">
        <v>42.929299999999998</v>
      </c>
      <c r="L100">
        <v>53.991999999999997</v>
      </c>
      <c r="M100">
        <v>373</v>
      </c>
      <c r="N100">
        <v>770</v>
      </c>
    </row>
    <row r="101" spans="1:14" x14ac:dyDescent="0.35">
      <c r="A101">
        <v>90632</v>
      </c>
      <c r="B101" t="s">
        <v>197</v>
      </c>
      <c r="C101" t="s">
        <v>44</v>
      </c>
      <c r="D101" t="s">
        <v>29</v>
      </c>
      <c r="E101" t="s">
        <v>24</v>
      </c>
      <c r="F101" t="s">
        <v>196</v>
      </c>
      <c r="G101" t="s">
        <v>32</v>
      </c>
      <c r="H101">
        <v>48.333300000000001</v>
      </c>
      <c r="I101">
        <v>44.701700000000002</v>
      </c>
      <c r="J101">
        <v>51.982599999999998</v>
      </c>
      <c r="K101">
        <v>42.637799999999999</v>
      </c>
      <c r="L101">
        <v>54.072499999999998</v>
      </c>
      <c r="M101">
        <v>348</v>
      </c>
      <c r="N101">
        <v>720</v>
      </c>
    </row>
    <row r="102" spans="1:14" x14ac:dyDescent="0.35">
      <c r="A102">
        <v>90632</v>
      </c>
      <c r="B102" t="s">
        <v>197</v>
      </c>
      <c r="C102" t="s">
        <v>98</v>
      </c>
      <c r="D102" t="s">
        <v>29</v>
      </c>
      <c r="E102" t="s">
        <v>24</v>
      </c>
      <c r="F102" t="s">
        <v>196</v>
      </c>
      <c r="G102" t="s">
        <v>32</v>
      </c>
      <c r="H102">
        <v>48.191000000000003</v>
      </c>
      <c r="I102">
        <v>44.485700000000001</v>
      </c>
      <c r="J102">
        <v>51.9163</v>
      </c>
      <c r="K102">
        <v>42.381799999999998</v>
      </c>
      <c r="L102">
        <v>54.049599999999998</v>
      </c>
      <c r="M102">
        <v>333</v>
      </c>
      <c r="N102">
        <v>691</v>
      </c>
    </row>
    <row r="103" spans="1:14" x14ac:dyDescent="0.35">
      <c r="A103">
        <v>90632</v>
      </c>
      <c r="B103" t="s">
        <v>197</v>
      </c>
      <c r="C103" t="s">
        <v>128</v>
      </c>
      <c r="D103" t="s">
        <v>29</v>
      </c>
      <c r="E103" t="s">
        <v>24</v>
      </c>
      <c r="F103" t="s">
        <v>196</v>
      </c>
      <c r="G103" t="s">
        <v>32</v>
      </c>
      <c r="H103">
        <v>47.9452</v>
      </c>
      <c r="I103">
        <v>43.645200000000003</v>
      </c>
      <c r="J103">
        <v>52.2759</v>
      </c>
      <c r="K103">
        <v>41.216299999999997</v>
      </c>
      <c r="L103">
        <v>54.749499999999998</v>
      </c>
      <c r="M103">
        <v>245</v>
      </c>
      <c r="N103">
        <v>511</v>
      </c>
    </row>
    <row r="104" spans="1:14" x14ac:dyDescent="0.35">
      <c r="A104">
        <v>90632</v>
      </c>
      <c r="B104" t="s">
        <v>197</v>
      </c>
      <c r="C104" t="s">
        <v>116</v>
      </c>
      <c r="D104" t="s">
        <v>29</v>
      </c>
      <c r="E104" t="s">
        <v>24</v>
      </c>
      <c r="F104" t="s">
        <v>196</v>
      </c>
      <c r="G104" t="s">
        <v>32</v>
      </c>
      <c r="H104">
        <v>47.858499999999999</v>
      </c>
      <c r="I104">
        <v>43.663600000000002</v>
      </c>
      <c r="J104">
        <v>52.0837</v>
      </c>
      <c r="K104">
        <v>41.292700000000004</v>
      </c>
      <c r="L104">
        <v>54.499099999999999</v>
      </c>
      <c r="M104">
        <v>257</v>
      </c>
      <c r="N104">
        <v>537</v>
      </c>
    </row>
    <row r="105" spans="1:14" x14ac:dyDescent="0.35">
      <c r="A105">
        <v>90632</v>
      </c>
      <c r="B105" t="s">
        <v>197</v>
      </c>
      <c r="C105" t="s">
        <v>69</v>
      </c>
      <c r="D105" t="s">
        <v>29</v>
      </c>
      <c r="E105" t="s">
        <v>24</v>
      </c>
      <c r="F105" t="s">
        <v>196</v>
      </c>
      <c r="G105" t="s">
        <v>32</v>
      </c>
      <c r="H105">
        <v>47.478299999999997</v>
      </c>
      <c r="I105">
        <v>43.426900000000003</v>
      </c>
      <c r="J105">
        <v>51.563099999999999</v>
      </c>
      <c r="K105">
        <v>41.136699999999998</v>
      </c>
      <c r="L105">
        <v>53.902200000000001</v>
      </c>
      <c r="M105">
        <v>273</v>
      </c>
      <c r="N105">
        <v>575</v>
      </c>
    </row>
    <row r="106" spans="1:14" x14ac:dyDescent="0.35">
      <c r="A106">
        <v>90632</v>
      </c>
      <c r="B106" t="s">
        <v>197</v>
      </c>
      <c r="C106" t="s">
        <v>119</v>
      </c>
      <c r="D106" t="s">
        <v>29</v>
      </c>
      <c r="E106" t="s">
        <v>24</v>
      </c>
      <c r="F106" t="s">
        <v>196</v>
      </c>
      <c r="G106" t="s">
        <v>32</v>
      </c>
      <c r="H106">
        <v>47.452199999999998</v>
      </c>
      <c r="I106">
        <v>41.993200000000002</v>
      </c>
      <c r="J106">
        <v>52.972799999999999</v>
      </c>
      <c r="K106">
        <v>38.948300000000003</v>
      </c>
      <c r="L106">
        <v>56.106499999999997</v>
      </c>
      <c r="M106">
        <v>149</v>
      </c>
      <c r="N106">
        <v>314</v>
      </c>
    </row>
    <row r="107" spans="1:14" x14ac:dyDescent="0.35">
      <c r="A107">
        <v>90632</v>
      </c>
      <c r="B107" t="s">
        <v>197</v>
      </c>
      <c r="C107" t="s">
        <v>183</v>
      </c>
      <c r="D107" t="s">
        <v>29</v>
      </c>
      <c r="E107" t="s">
        <v>24</v>
      </c>
      <c r="F107" t="s">
        <v>196</v>
      </c>
      <c r="G107" t="s">
        <v>32</v>
      </c>
      <c r="H107">
        <v>47.344099999999997</v>
      </c>
      <c r="I107">
        <v>42.685299999999998</v>
      </c>
      <c r="J107">
        <v>52.049599999999998</v>
      </c>
      <c r="K107">
        <v>40.066800000000001</v>
      </c>
      <c r="L107">
        <v>54.7361</v>
      </c>
      <c r="M107">
        <v>205</v>
      </c>
      <c r="N107">
        <v>433</v>
      </c>
    </row>
    <row r="108" spans="1:14" x14ac:dyDescent="0.35">
      <c r="A108">
        <v>90632</v>
      </c>
      <c r="B108" t="s">
        <v>197</v>
      </c>
      <c r="C108" t="s">
        <v>81</v>
      </c>
      <c r="D108" t="s">
        <v>29</v>
      </c>
      <c r="E108" t="s">
        <v>24</v>
      </c>
      <c r="F108" t="s">
        <v>196</v>
      </c>
      <c r="G108" t="s">
        <v>32</v>
      </c>
      <c r="H108">
        <v>47.117800000000003</v>
      </c>
      <c r="I108">
        <v>42.270699999999998</v>
      </c>
      <c r="J108">
        <v>52.019799999999996</v>
      </c>
      <c r="K108">
        <v>39.5533</v>
      </c>
      <c r="L108">
        <v>54.817100000000003</v>
      </c>
      <c r="M108">
        <v>188</v>
      </c>
      <c r="N108">
        <v>399</v>
      </c>
    </row>
    <row r="109" spans="1:14" x14ac:dyDescent="0.35">
      <c r="A109">
        <v>90632</v>
      </c>
      <c r="B109" t="s">
        <v>197</v>
      </c>
      <c r="C109" t="s">
        <v>72</v>
      </c>
      <c r="D109" t="s">
        <v>29</v>
      </c>
      <c r="E109" t="s">
        <v>24</v>
      </c>
      <c r="F109" t="s">
        <v>196</v>
      </c>
      <c r="G109" t="s">
        <v>32</v>
      </c>
      <c r="H109">
        <v>47.096800000000002</v>
      </c>
      <c r="I109">
        <v>44.736600000000003</v>
      </c>
      <c r="J109">
        <v>49.47</v>
      </c>
      <c r="K109">
        <v>43.387700000000002</v>
      </c>
      <c r="L109">
        <v>50.838200000000001</v>
      </c>
      <c r="M109">
        <v>803</v>
      </c>
      <c r="N109">
        <v>1705</v>
      </c>
    </row>
    <row r="110" spans="1:14" x14ac:dyDescent="0.35">
      <c r="A110">
        <v>90632</v>
      </c>
      <c r="B110" t="s">
        <v>197</v>
      </c>
      <c r="C110" t="s">
        <v>94</v>
      </c>
      <c r="D110" t="s">
        <v>29</v>
      </c>
      <c r="E110" t="s">
        <v>24</v>
      </c>
      <c r="F110" t="s">
        <v>196</v>
      </c>
      <c r="G110" t="s">
        <v>32</v>
      </c>
      <c r="H110">
        <v>47.049900000000001</v>
      </c>
      <c r="I110">
        <v>43.2729</v>
      </c>
      <c r="J110">
        <v>50.860999999999997</v>
      </c>
      <c r="K110">
        <v>41.135300000000001</v>
      </c>
      <c r="L110">
        <v>53.048499999999997</v>
      </c>
      <c r="M110">
        <v>311</v>
      </c>
      <c r="N110">
        <v>661</v>
      </c>
    </row>
    <row r="111" spans="1:14" x14ac:dyDescent="0.35">
      <c r="A111">
        <v>90632</v>
      </c>
      <c r="B111" t="s">
        <v>197</v>
      </c>
      <c r="C111" t="s">
        <v>113</v>
      </c>
      <c r="D111" t="s">
        <v>29</v>
      </c>
      <c r="E111" t="s">
        <v>24</v>
      </c>
      <c r="F111" t="s">
        <v>196</v>
      </c>
      <c r="G111" t="s">
        <v>32</v>
      </c>
      <c r="H111">
        <v>46.955100000000002</v>
      </c>
      <c r="I111">
        <v>43.069899999999997</v>
      </c>
      <c r="J111">
        <v>50.877600000000001</v>
      </c>
      <c r="K111">
        <v>40.873600000000003</v>
      </c>
      <c r="L111">
        <v>53.128399999999999</v>
      </c>
      <c r="M111">
        <v>293</v>
      </c>
      <c r="N111">
        <v>624</v>
      </c>
    </row>
    <row r="112" spans="1:14" x14ac:dyDescent="0.35">
      <c r="A112">
        <v>90632</v>
      </c>
      <c r="B112" t="s">
        <v>197</v>
      </c>
      <c r="C112" t="s">
        <v>97</v>
      </c>
      <c r="D112" t="s">
        <v>29</v>
      </c>
      <c r="E112" t="s">
        <v>24</v>
      </c>
      <c r="F112" t="s">
        <v>196</v>
      </c>
      <c r="G112" t="s">
        <v>32</v>
      </c>
      <c r="H112">
        <v>46.954799999999999</v>
      </c>
      <c r="I112">
        <v>42.658200000000001</v>
      </c>
      <c r="J112">
        <v>51.296999999999997</v>
      </c>
      <c r="K112">
        <v>40.238</v>
      </c>
      <c r="L112">
        <v>53.783799999999999</v>
      </c>
      <c r="M112">
        <v>239</v>
      </c>
      <c r="N112">
        <v>509</v>
      </c>
    </row>
    <row r="113" spans="1:14" x14ac:dyDescent="0.35">
      <c r="A113">
        <v>90632</v>
      </c>
      <c r="B113" t="s">
        <v>197</v>
      </c>
      <c r="C113" t="s">
        <v>37</v>
      </c>
      <c r="D113" t="s">
        <v>29</v>
      </c>
      <c r="E113" t="s">
        <v>24</v>
      </c>
      <c r="F113" t="s">
        <v>196</v>
      </c>
      <c r="G113" t="s">
        <v>32</v>
      </c>
      <c r="H113">
        <v>46.827300000000001</v>
      </c>
      <c r="I113">
        <v>44.069499999999998</v>
      </c>
      <c r="J113">
        <v>49.604599999999998</v>
      </c>
      <c r="K113">
        <v>42.497900000000001</v>
      </c>
      <c r="L113">
        <v>51.205100000000002</v>
      </c>
      <c r="M113">
        <v>583</v>
      </c>
      <c r="N113">
        <v>1245</v>
      </c>
    </row>
    <row r="114" spans="1:14" x14ac:dyDescent="0.35">
      <c r="A114">
        <v>90632</v>
      </c>
      <c r="B114" t="s">
        <v>197</v>
      </c>
      <c r="C114" t="s">
        <v>184</v>
      </c>
      <c r="D114" t="s">
        <v>29</v>
      </c>
      <c r="E114" t="s">
        <v>24</v>
      </c>
      <c r="F114" t="s">
        <v>196</v>
      </c>
      <c r="G114" t="s">
        <v>32</v>
      </c>
      <c r="H114">
        <v>46.731400000000001</v>
      </c>
      <c r="I114">
        <v>43.840899999999998</v>
      </c>
      <c r="J114">
        <v>49.644100000000002</v>
      </c>
      <c r="K114">
        <v>42.195399999999999</v>
      </c>
      <c r="L114">
        <v>51.322200000000002</v>
      </c>
      <c r="M114">
        <v>529</v>
      </c>
      <c r="N114">
        <v>1132</v>
      </c>
    </row>
    <row r="115" spans="1:14" x14ac:dyDescent="0.35">
      <c r="A115">
        <v>90632</v>
      </c>
      <c r="B115" t="s">
        <v>197</v>
      </c>
      <c r="C115" t="s">
        <v>186</v>
      </c>
      <c r="D115" t="s">
        <v>29</v>
      </c>
      <c r="E115" t="s">
        <v>24</v>
      </c>
      <c r="F115" t="s">
        <v>196</v>
      </c>
      <c r="G115" t="s">
        <v>32</v>
      </c>
      <c r="H115">
        <v>46.666699999999999</v>
      </c>
      <c r="I115">
        <v>40.4572</v>
      </c>
      <c r="J115">
        <v>52.981200000000001</v>
      </c>
      <c r="K115">
        <v>37.034199999999998</v>
      </c>
      <c r="L115">
        <v>56.554299999999998</v>
      </c>
      <c r="M115">
        <v>112</v>
      </c>
      <c r="N115">
        <v>240</v>
      </c>
    </row>
    <row r="116" spans="1:14" x14ac:dyDescent="0.35">
      <c r="A116">
        <v>90632</v>
      </c>
      <c r="B116" t="s">
        <v>197</v>
      </c>
      <c r="C116" t="s">
        <v>83</v>
      </c>
      <c r="D116" t="s">
        <v>29</v>
      </c>
      <c r="E116" t="s">
        <v>24</v>
      </c>
      <c r="F116" t="s">
        <v>196</v>
      </c>
      <c r="G116" t="s">
        <v>32</v>
      </c>
      <c r="H116">
        <v>46.5261</v>
      </c>
      <c r="I116">
        <v>44.1023</v>
      </c>
      <c r="J116">
        <v>48.9664</v>
      </c>
      <c r="K116">
        <v>42.718699999999998</v>
      </c>
      <c r="L116">
        <v>50.374299999999998</v>
      </c>
      <c r="M116">
        <v>750</v>
      </c>
      <c r="N116">
        <v>1612</v>
      </c>
    </row>
    <row r="117" spans="1:14" x14ac:dyDescent="0.35">
      <c r="A117">
        <v>90632</v>
      </c>
      <c r="B117" t="s">
        <v>197</v>
      </c>
      <c r="C117" t="s">
        <v>78</v>
      </c>
      <c r="D117" t="s">
        <v>29</v>
      </c>
      <c r="E117" t="s">
        <v>24</v>
      </c>
      <c r="F117" t="s">
        <v>196</v>
      </c>
      <c r="G117" t="s">
        <v>32</v>
      </c>
      <c r="H117">
        <v>46.376800000000003</v>
      </c>
      <c r="I117">
        <v>41.975499999999997</v>
      </c>
      <c r="J117">
        <v>50.835299999999997</v>
      </c>
      <c r="K117">
        <v>39.503</v>
      </c>
      <c r="L117">
        <v>53.391100000000002</v>
      </c>
      <c r="M117">
        <v>224</v>
      </c>
      <c r="N117">
        <v>483</v>
      </c>
    </row>
    <row r="118" spans="1:14" x14ac:dyDescent="0.35">
      <c r="A118">
        <v>90632</v>
      </c>
      <c r="B118" t="s">
        <v>197</v>
      </c>
      <c r="C118" t="s">
        <v>123</v>
      </c>
      <c r="D118" t="s">
        <v>29</v>
      </c>
      <c r="E118" t="s">
        <v>24</v>
      </c>
      <c r="F118" t="s">
        <v>196</v>
      </c>
      <c r="G118" t="s">
        <v>32</v>
      </c>
      <c r="H118">
        <v>46.311500000000002</v>
      </c>
      <c r="I118">
        <v>43.203699999999998</v>
      </c>
      <c r="J118">
        <v>49.448099999999997</v>
      </c>
      <c r="K118">
        <v>41.438699999999997</v>
      </c>
      <c r="L118">
        <v>51.255699999999997</v>
      </c>
      <c r="M118">
        <v>452</v>
      </c>
      <c r="N118">
        <v>976</v>
      </c>
    </row>
    <row r="119" spans="1:14" x14ac:dyDescent="0.35">
      <c r="A119">
        <v>90632</v>
      </c>
      <c r="B119" t="s">
        <v>197</v>
      </c>
      <c r="C119" t="s">
        <v>53</v>
      </c>
      <c r="D119" t="s">
        <v>29</v>
      </c>
      <c r="E119" t="s">
        <v>24</v>
      </c>
      <c r="F119" t="s">
        <v>196</v>
      </c>
      <c r="G119" t="s">
        <v>32</v>
      </c>
      <c r="H119">
        <v>46.218499999999999</v>
      </c>
      <c r="I119">
        <v>41.114400000000003</v>
      </c>
      <c r="J119">
        <v>51.403100000000002</v>
      </c>
      <c r="K119">
        <v>38.269100000000002</v>
      </c>
      <c r="L119">
        <v>54.364899999999999</v>
      </c>
      <c r="M119">
        <v>165</v>
      </c>
      <c r="N119">
        <v>357</v>
      </c>
    </row>
    <row r="120" spans="1:14" x14ac:dyDescent="0.35">
      <c r="A120">
        <v>90632</v>
      </c>
      <c r="B120" t="s">
        <v>197</v>
      </c>
      <c r="C120" t="s">
        <v>134</v>
      </c>
      <c r="D120" t="s">
        <v>29</v>
      </c>
      <c r="E120" t="s">
        <v>24</v>
      </c>
      <c r="F120" t="s">
        <v>196</v>
      </c>
      <c r="G120" t="s">
        <v>32</v>
      </c>
      <c r="H120">
        <v>46.134300000000003</v>
      </c>
      <c r="I120">
        <v>42.683100000000003</v>
      </c>
      <c r="J120">
        <v>49.623100000000001</v>
      </c>
      <c r="K120">
        <v>40.728999999999999</v>
      </c>
      <c r="L120">
        <v>51.632199999999997</v>
      </c>
      <c r="M120">
        <v>364</v>
      </c>
      <c r="N120">
        <v>789</v>
      </c>
    </row>
    <row r="121" spans="1:14" x14ac:dyDescent="0.35">
      <c r="A121">
        <v>90632</v>
      </c>
      <c r="B121" t="s">
        <v>197</v>
      </c>
      <c r="C121" t="s">
        <v>136</v>
      </c>
      <c r="D121" t="s">
        <v>29</v>
      </c>
      <c r="E121" t="s">
        <v>24</v>
      </c>
      <c r="F121" t="s">
        <v>196</v>
      </c>
      <c r="G121" t="s">
        <v>32</v>
      </c>
      <c r="H121">
        <v>46.045699999999997</v>
      </c>
      <c r="I121">
        <v>43.167900000000003</v>
      </c>
      <c r="J121">
        <v>48.950099999999999</v>
      </c>
      <c r="K121">
        <v>41.531599999999997</v>
      </c>
      <c r="L121">
        <v>50.625599999999999</v>
      </c>
      <c r="M121">
        <v>524</v>
      </c>
      <c r="N121">
        <v>1138</v>
      </c>
    </row>
    <row r="122" spans="1:14" x14ac:dyDescent="0.35">
      <c r="A122">
        <v>90632</v>
      </c>
      <c r="B122" t="s">
        <v>197</v>
      </c>
      <c r="C122" t="s">
        <v>75</v>
      </c>
      <c r="D122" t="s">
        <v>29</v>
      </c>
      <c r="E122" t="s">
        <v>24</v>
      </c>
      <c r="F122" t="s">
        <v>196</v>
      </c>
      <c r="G122" t="s">
        <v>32</v>
      </c>
      <c r="H122">
        <v>46.010800000000003</v>
      </c>
      <c r="I122">
        <v>43.307899999999997</v>
      </c>
      <c r="J122">
        <v>48.737400000000001</v>
      </c>
      <c r="K122">
        <v>41.769199999999998</v>
      </c>
      <c r="L122">
        <v>50.311100000000003</v>
      </c>
      <c r="M122">
        <v>594</v>
      </c>
      <c r="N122">
        <v>1291</v>
      </c>
    </row>
    <row r="123" spans="1:14" x14ac:dyDescent="0.35">
      <c r="A123">
        <v>90632</v>
      </c>
      <c r="B123" t="s">
        <v>197</v>
      </c>
      <c r="C123" t="s">
        <v>188</v>
      </c>
      <c r="D123" t="s">
        <v>29</v>
      </c>
      <c r="E123" t="s">
        <v>24</v>
      </c>
      <c r="F123" t="s">
        <v>196</v>
      </c>
      <c r="G123" t="s">
        <v>32</v>
      </c>
      <c r="H123">
        <v>46.006900000000002</v>
      </c>
      <c r="I123">
        <v>43.146900000000002</v>
      </c>
      <c r="J123">
        <v>48.893500000000003</v>
      </c>
      <c r="K123">
        <v>41.520499999999998</v>
      </c>
      <c r="L123">
        <v>50.558999999999997</v>
      </c>
      <c r="M123">
        <v>530</v>
      </c>
      <c r="N123">
        <v>1152</v>
      </c>
    </row>
    <row r="124" spans="1:14" x14ac:dyDescent="0.35">
      <c r="A124">
        <v>90632</v>
      </c>
      <c r="B124" t="s">
        <v>197</v>
      </c>
      <c r="C124" t="s">
        <v>89</v>
      </c>
      <c r="D124" t="s">
        <v>29</v>
      </c>
      <c r="E124" t="s">
        <v>24</v>
      </c>
      <c r="F124" t="s">
        <v>196</v>
      </c>
      <c r="G124" t="s">
        <v>32</v>
      </c>
      <c r="H124">
        <v>46.005499999999998</v>
      </c>
      <c r="I124">
        <v>43.921199999999999</v>
      </c>
      <c r="J124">
        <v>48.103900000000003</v>
      </c>
      <c r="K124">
        <v>42.729900000000001</v>
      </c>
      <c r="L124">
        <v>49.316000000000003</v>
      </c>
      <c r="M124" s="1">
        <v>1002</v>
      </c>
      <c r="N124">
        <v>2178</v>
      </c>
    </row>
    <row r="125" spans="1:14" x14ac:dyDescent="0.35">
      <c r="A125">
        <v>90632</v>
      </c>
      <c r="B125" t="s">
        <v>197</v>
      </c>
      <c r="C125" t="s">
        <v>57</v>
      </c>
      <c r="D125" t="s">
        <v>29</v>
      </c>
      <c r="E125" t="s">
        <v>24</v>
      </c>
      <c r="F125" t="s">
        <v>196</v>
      </c>
      <c r="G125" t="s">
        <v>32</v>
      </c>
      <c r="H125">
        <v>45.826900000000002</v>
      </c>
      <c r="I125">
        <v>43.128500000000003</v>
      </c>
      <c r="J125">
        <v>48.55</v>
      </c>
      <c r="K125">
        <v>41.592700000000001</v>
      </c>
      <c r="L125">
        <v>50.122199999999999</v>
      </c>
      <c r="M125">
        <v>593</v>
      </c>
      <c r="N125">
        <v>1294</v>
      </c>
    </row>
    <row r="126" spans="1:14" x14ac:dyDescent="0.35">
      <c r="A126">
        <v>90632</v>
      </c>
      <c r="B126" t="s">
        <v>197</v>
      </c>
      <c r="C126" t="s">
        <v>104</v>
      </c>
      <c r="D126" t="s">
        <v>29</v>
      </c>
      <c r="E126" t="s">
        <v>24</v>
      </c>
      <c r="F126" t="s">
        <v>196</v>
      </c>
      <c r="G126" t="s">
        <v>32</v>
      </c>
      <c r="H126">
        <v>45.824800000000003</v>
      </c>
      <c r="I126">
        <v>41.467100000000002</v>
      </c>
      <c r="J126">
        <v>50.247399999999999</v>
      </c>
      <c r="K126">
        <v>39.021999999999998</v>
      </c>
      <c r="L126">
        <v>52.786999999999999</v>
      </c>
      <c r="M126">
        <v>225</v>
      </c>
      <c r="N126">
        <v>491</v>
      </c>
    </row>
    <row r="127" spans="1:14" x14ac:dyDescent="0.35">
      <c r="A127">
        <v>90632</v>
      </c>
      <c r="B127" t="s">
        <v>197</v>
      </c>
      <c r="C127" t="s">
        <v>64</v>
      </c>
      <c r="D127" t="s">
        <v>29</v>
      </c>
      <c r="E127" t="s">
        <v>24</v>
      </c>
      <c r="F127" t="s">
        <v>196</v>
      </c>
      <c r="G127" t="s">
        <v>32</v>
      </c>
      <c r="H127">
        <v>45.821300000000001</v>
      </c>
      <c r="I127">
        <v>40.653199999999998</v>
      </c>
      <c r="J127">
        <v>51.0809</v>
      </c>
      <c r="K127">
        <v>37.778300000000002</v>
      </c>
      <c r="L127">
        <v>54.088200000000001</v>
      </c>
      <c r="M127">
        <v>159</v>
      </c>
      <c r="N127">
        <v>347</v>
      </c>
    </row>
    <row r="128" spans="1:14" x14ac:dyDescent="0.35">
      <c r="A128">
        <v>90632</v>
      </c>
      <c r="B128" t="s">
        <v>197</v>
      </c>
      <c r="C128" t="s">
        <v>187</v>
      </c>
      <c r="D128" t="s">
        <v>29</v>
      </c>
      <c r="E128" t="s">
        <v>24</v>
      </c>
      <c r="F128" t="s">
        <v>196</v>
      </c>
      <c r="G128" t="s">
        <v>32</v>
      </c>
      <c r="H128">
        <v>45.537100000000002</v>
      </c>
      <c r="I128">
        <v>41.777299999999997</v>
      </c>
      <c r="J128">
        <v>49.348399999999998</v>
      </c>
      <c r="K128">
        <v>39.657200000000003</v>
      </c>
      <c r="L128">
        <v>51.543999999999997</v>
      </c>
      <c r="M128">
        <v>301</v>
      </c>
      <c r="N128">
        <v>661</v>
      </c>
    </row>
    <row r="129" spans="1:14" x14ac:dyDescent="0.35">
      <c r="A129">
        <v>90632</v>
      </c>
      <c r="B129" t="s">
        <v>197</v>
      </c>
      <c r="C129" t="s">
        <v>132</v>
      </c>
      <c r="D129" t="s">
        <v>29</v>
      </c>
      <c r="E129" t="s">
        <v>24</v>
      </c>
      <c r="F129" t="s">
        <v>196</v>
      </c>
      <c r="G129" t="s">
        <v>32</v>
      </c>
      <c r="H129">
        <v>45.382599999999996</v>
      </c>
      <c r="I129">
        <v>40.441600000000001</v>
      </c>
      <c r="J129">
        <v>50.416200000000003</v>
      </c>
      <c r="K129">
        <v>37.690199999999997</v>
      </c>
      <c r="L129">
        <v>53.302</v>
      </c>
      <c r="M129">
        <v>172</v>
      </c>
      <c r="N129">
        <v>379</v>
      </c>
    </row>
    <row r="130" spans="1:14" x14ac:dyDescent="0.35">
      <c r="A130">
        <v>90632</v>
      </c>
      <c r="B130" t="s">
        <v>197</v>
      </c>
      <c r="C130" t="s">
        <v>79</v>
      </c>
      <c r="D130" t="s">
        <v>29</v>
      </c>
      <c r="E130" t="s">
        <v>24</v>
      </c>
      <c r="F130" t="s">
        <v>196</v>
      </c>
      <c r="G130" t="s">
        <v>32</v>
      </c>
      <c r="H130">
        <v>45.238100000000003</v>
      </c>
      <c r="I130">
        <v>40.293500000000002</v>
      </c>
      <c r="J130">
        <v>50.278500000000001</v>
      </c>
      <c r="K130">
        <v>37.541499999999999</v>
      </c>
      <c r="L130">
        <v>53.1693</v>
      </c>
      <c r="M130">
        <v>171</v>
      </c>
      <c r="N130">
        <v>378</v>
      </c>
    </row>
    <row r="131" spans="1:14" x14ac:dyDescent="0.35">
      <c r="A131">
        <v>90632</v>
      </c>
      <c r="B131" t="s">
        <v>197</v>
      </c>
      <c r="C131" t="s">
        <v>103</v>
      </c>
      <c r="D131" t="s">
        <v>29</v>
      </c>
      <c r="E131" t="s">
        <v>24</v>
      </c>
      <c r="F131" t="s">
        <v>196</v>
      </c>
      <c r="G131" t="s">
        <v>32</v>
      </c>
      <c r="H131">
        <v>45.082000000000001</v>
      </c>
      <c r="I131">
        <v>40.061700000000002</v>
      </c>
      <c r="J131">
        <v>50.2044</v>
      </c>
      <c r="K131">
        <v>37.271599999999999</v>
      </c>
      <c r="L131">
        <v>53.142499999999998</v>
      </c>
      <c r="M131">
        <v>165</v>
      </c>
      <c r="N131">
        <v>366</v>
      </c>
    </row>
    <row r="132" spans="1:14" x14ac:dyDescent="0.35">
      <c r="A132">
        <v>90632</v>
      </c>
      <c r="B132" t="s">
        <v>197</v>
      </c>
      <c r="C132" t="s">
        <v>129</v>
      </c>
      <c r="D132" t="s">
        <v>29</v>
      </c>
      <c r="E132" t="s">
        <v>24</v>
      </c>
      <c r="F132" t="s">
        <v>196</v>
      </c>
      <c r="G132" t="s">
        <v>32</v>
      </c>
      <c r="H132">
        <v>45.069000000000003</v>
      </c>
      <c r="I132">
        <v>42.030900000000003</v>
      </c>
      <c r="J132">
        <v>48.144399999999997</v>
      </c>
      <c r="K132">
        <v>40.308799999999998</v>
      </c>
      <c r="L132">
        <v>49.921300000000002</v>
      </c>
      <c r="M132">
        <v>457</v>
      </c>
      <c r="N132">
        <v>1014</v>
      </c>
    </row>
    <row r="133" spans="1:14" x14ac:dyDescent="0.35">
      <c r="A133">
        <v>90632</v>
      </c>
      <c r="B133" t="s">
        <v>197</v>
      </c>
      <c r="C133" t="s">
        <v>28</v>
      </c>
      <c r="D133" t="s">
        <v>29</v>
      </c>
      <c r="E133" t="s">
        <v>24</v>
      </c>
      <c r="F133" t="s">
        <v>196</v>
      </c>
      <c r="G133" t="s">
        <v>32</v>
      </c>
      <c r="H133">
        <v>45.045000000000002</v>
      </c>
      <c r="I133">
        <v>40.479300000000002</v>
      </c>
      <c r="J133">
        <v>49.695700000000002</v>
      </c>
      <c r="K133">
        <v>37.929099999999998</v>
      </c>
      <c r="L133">
        <v>52.369599999999998</v>
      </c>
      <c r="M133">
        <v>200</v>
      </c>
      <c r="N133">
        <v>444</v>
      </c>
    </row>
    <row r="134" spans="1:14" x14ac:dyDescent="0.35">
      <c r="A134">
        <v>90632</v>
      </c>
      <c r="B134" t="s">
        <v>197</v>
      </c>
      <c r="C134" t="s">
        <v>87</v>
      </c>
      <c r="D134" t="s">
        <v>29</v>
      </c>
      <c r="E134" t="s">
        <v>24</v>
      </c>
      <c r="F134" t="s">
        <v>196</v>
      </c>
      <c r="G134" t="s">
        <v>32</v>
      </c>
      <c r="H134">
        <v>45.031100000000002</v>
      </c>
      <c r="I134">
        <v>39.6873</v>
      </c>
      <c r="J134">
        <v>50.491999999999997</v>
      </c>
      <c r="K134">
        <v>36.729300000000002</v>
      </c>
      <c r="L134">
        <v>53.619100000000003</v>
      </c>
      <c r="M134">
        <v>145</v>
      </c>
      <c r="N134">
        <v>322</v>
      </c>
    </row>
    <row r="135" spans="1:14" x14ac:dyDescent="0.35">
      <c r="A135">
        <v>90632</v>
      </c>
      <c r="B135" t="s">
        <v>197</v>
      </c>
      <c r="C135" t="s">
        <v>142</v>
      </c>
      <c r="D135" t="s">
        <v>29</v>
      </c>
      <c r="E135" t="s">
        <v>24</v>
      </c>
      <c r="F135" t="s">
        <v>196</v>
      </c>
      <c r="G135" t="s">
        <v>32</v>
      </c>
      <c r="H135">
        <v>44.886400000000002</v>
      </c>
      <c r="I135">
        <v>37.725499999999997</v>
      </c>
      <c r="J135">
        <v>52.265700000000002</v>
      </c>
      <c r="K135">
        <v>33.862900000000003</v>
      </c>
      <c r="L135">
        <v>56.436199999999999</v>
      </c>
      <c r="M135">
        <v>79</v>
      </c>
      <c r="N135">
        <v>176</v>
      </c>
    </row>
    <row r="136" spans="1:14" x14ac:dyDescent="0.35">
      <c r="A136">
        <v>90632</v>
      </c>
      <c r="B136" t="s">
        <v>197</v>
      </c>
      <c r="C136" t="s">
        <v>74</v>
      </c>
      <c r="D136" t="s">
        <v>29</v>
      </c>
      <c r="E136" t="s">
        <v>24</v>
      </c>
      <c r="F136" t="s">
        <v>196</v>
      </c>
      <c r="G136" t="s">
        <v>32</v>
      </c>
      <c r="H136">
        <v>44.748899999999999</v>
      </c>
      <c r="I136">
        <v>38.310299999999998</v>
      </c>
      <c r="J136">
        <v>51.368499999999997</v>
      </c>
      <c r="K136">
        <v>34.801900000000003</v>
      </c>
      <c r="L136">
        <v>55.134599999999999</v>
      </c>
      <c r="M136">
        <v>98</v>
      </c>
      <c r="N136">
        <v>219</v>
      </c>
    </row>
    <row r="137" spans="1:14" x14ac:dyDescent="0.35">
      <c r="A137">
        <v>90632</v>
      </c>
      <c r="B137" t="s">
        <v>197</v>
      </c>
      <c r="C137" t="s">
        <v>51</v>
      </c>
      <c r="D137" t="s">
        <v>29</v>
      </c>
      <c r="E137" t="s">
        <v>24</v>
      </c>
      <c r="F137" t="s">
        <v>196</v>
      </c>
      <c r="G137" t="s">
        <v>32</v>
      </c>
      <c r="H137">
        <v>44.736800000000002</v>
      </c>
      <c r="I137">
        <v>37.058999999999997</v>
      </c>
      <c r="J137">
        <v>52.674199999999999</v>
      </c>
      <c r="K137">
        <v>32.954999999999998</v>
      </c>
      <c r="L137">
        <v>57.140900000000002</v>
      </c>
      <c r="M137">
        <v>68</v>
      </c>
      <c r="N137">
        <v>152</v>
      </c>
    </row>
    <row r="138" spans="1:14" x14ac:dyDescent="0.35">
      <c r="A138">
        <v>90632</v>
      </c>
      <c r="B138" t="s">
        <v>197</v>
      </c>
      <c r="C138" t="s">
        <v>59</v>
      </c>
      <c r="D138" t="s">
        <v>29</v>
      </c>
      <c r="E138" t="s">
        <v>24</v>
      </c>
      <c r="F138" t="s">
        <v>196</v>
      </c>
      <c r="G138" t="s">
        <v>32</v>
      </c>
      <c r="H138">
        <v>44.469000000000001</v>
      </c>
      <c r="I138">
        <v>39.953600000000002</v>
      </c>
      <c r="J138">
        <v>49.0777</v>
      </c>
      <c r="K138">
        <v>37.434600000000003</v>
      </c>
      <c r="L138">
        <v>51.732300000000002</v>
      </c>
      <c r="M138">
        <v>201</v>
      </c>
      <c r="N138">
        <v>452</v>
      </c>
    </row>
    <row r="139" spans="1:14" x14ac:dyDescent="0.35">
      <c r="A139">
        <v>90632</v>
      </c>
      <c r="B139" t="s">
        <v>197</v>
      </c>
      <c r="C139" t="s">
        <v>45</v>
      </c>
      <c r="D139" t="s">
        <v>29</v>
      </c>
      <c r="E139" t="s">
        <v>24</v>
      </c>
      <c r="F139" t="s">
        <v>196</v>
      </c>
      <c r="G139" t="s">
        <v>32</v>
      </c>
      <c r="H139">
        <v>44.360900000000001</v>
      </c>
      <c r="I139">
        <v>40.194600000000001</v>
      </c>
      <c r="J139">
        <v>48.607999999999997</v>
      </c>
      <c r="K139">
        <v>37.862400000000001</v>
      </c>
      <c r="L139">
        <v>51.058300000000003</v>
      </c>
      <c r="M139">
        <v>236</v>
      </c>
      <c r="N139">
        <v>532</v>
      </c>
    </row>
    <row r="140" spans="1:14" x14ac:dyDescent="0.35">
      <c r="A140">
        <v>90632</v>
      </c>
      <c r="B140" t="s">
        <v>197</v>
      </c>
      <c r="C140" t="s">
        <v>84</v>
      </c>
      <c r="D140" t="s">
        <v>29</v>
      </c>
      <c r="E140" t="s">
        <v>24</v>
      </c>
      <c r="F140" t="s">
        <v>196</v>
      </c>
      <c r="G140" t="s">
        <v>32</v>
      </c>
      <c r="H140">
        <v>44.241300000000003</v>
      </c>
      <c r="I140">
        <v>40.133600000000001</v>
      </c>
      <c r="J140">
        <v>48.429299999999998</v>
      </c>
      <c r="K140">
        <v>37.833399999999997</v>
      </c>
      <c r="L140">
        <v>50.846800000000002</v>
      </c>
      <c r="M140">
        <v>242</v>
      </c>
      <c r="N140">
        <v>547</v>
      </c>
    </row>
    <row r="141" spans="1:14" x14ac:dyDescent="0.35">
      <c r="A141">
        <v>90632</v>
      </c>
      <c r="B141" t="s">
        <v>197</v>
      </c>
      <c r="C141" t="s">
        <v>149</v>
      </c>
      <c r="D141" t="s">
        <v>29</v>
      </c>
      <c r="E141" t="s">
        <v>24</v>
      </c>
      <c r="F141" t="s">
        <v>196</v>
      </c>
      <c r="G141" t="s">
        <v>32</v>
      </c>
      <c r="H141">
        <v>43.852200000000003</v>
      </c>
      <c r="I141">
        <v>41.279600000000002</v>
      </c>
      <c r="J141">
        <v>46.458199999999998</v>
      </c>
      <c r="K141">
        <v>39.819200000000002</v>
      </c>
      <c r="L141">
        <v>47.968000000000004</v>
      </c>
      <c r="M141">
        <v>617</v>
      </c>
      <c r="N141">
        <v>1407</v>
      </c>
    </row>
    <row r="142" spans="1:14" x14ac:dyDescent="0.35">
      <c r="A142">
        <v>90632</v>
      </c>
      <c r="B142" t="s">
        <v>197</v>
      </c>
      <c r="C142" t="s">
        <v>108</v>
      </c>
      <c r="D142" t="s">
        <v>29</v>
      </c>
      <c r="E142" t="s">
        <v>24</v>
      </c>
      <c r="F142" t="s">
        <v>196</v>
      </c>
      <c r="G142" t="s">
        <v>32</v>
      </c>
      <c r="H142">
        <v>43.703699999999998</v>
      </c>
      <c r="I142">
        <v>35.625399999999999</v>
      </c>
      <c r="J142">
        <v>52.130400000000002</v>
      </c>
      <c r="K142">
        <v>31.363700000000001</v>
      </c>
      <c r="L142">
        <v>56.875599999999999</v>
      </c>
      <c r="M142">
        <v>59</v>
      </c>
      <c r="N142">
        <v>135</v>
      </c>
    </row>
    <row r="143" spans="1:14" x14ac:dyDescent="0.35">
      <c r="A143">
        <v>90632</v>
      </c>
      <c r="B143" t="s">
        <v>197</v>
      </c>
      <c r="C143" t="s">
        <v>138</v>
      </c>
      <c r="D143" t="s">
        <v>29</v>
      </c>
      <c r="E143" t="s">
        <v>24</v>
      </c>
      <c r="F143" t="s">
        <v>196</v>
      </c>
      <c r="G143" t="s">
        <v>32</v>
      </c>
      <c r="H143">
        <v>43.689300000000003</v>
      </c>
      <c r="I143">
        <v>38.270000000000003</v>
      </c>
      <c r="J143">
        <v>49.263599999999997</v>
      </c>
      <c r="K143">
        <v>35.288499999999999</v>
      </c>
      <c r="L143">
        <v>52.468499999999999</v>
      </c>
      <c r="M143">
        <v>135</v>
      </c>
      <c r="N143">
        <v>309</v>
      </c>
    </row>
    <row r="144" spans="1:14" x14ac:dyDescent="0.35">
      <c r="A144">
        <v>90632</v>
      </c>
      <c r="B144" t="s">
        <v>197</v>
      </c>
      <c r="C144" t="s">
        <v>130</v>
      </c>
      <c r="D144" t="s">
        <v>29</v>
      </c>
      <c r="E144" t="s">
        <v>24</v>
      </c>
      <c r="F144" t="s">
        <v>196</v>
      </c>
      <c r="G144" t="s">
        <v>32</v>
      </c>
      <c r="H144">
        <v>43.625500000000002</v>
      </c>
      <c r="I144">
        <v>40.588000000000001</v>
      </c>
      <c r="J144">
        <v>46.711599999999997</v>
      </c>
      <c r="K144">
        <v>38.871499999999997</v>
      </c>
      <c r="L144">
        <v>48.499600000000001</v>
      </c>
      <c r="M144">
        <v>438</v>
      </c>
      <c r="N144">
        <v>1004</v>
      </c>
    </row>
    <row r="145" spans="1:14" x14ac:dyDescent="0.35">
      <c r="A145">
        <v>90632</v>
      </c>
      <c r="B145" t="s">
        <v>197</v>
      </c>
      <c r="C145" t="s">
        <v>48</v>
      </c>
      <c r="D145" t="s">
        <v>29</v>
      </c>
      <c r="E145" t="s">
        <v>24</v>
      </c>
      <c r="F145" t="s">
        <v>196</v>
      </c>
      <c r="G145" t="s">
        <v>32</v>
      </c>
      <c r="H145">
        <v>43.445700000000002</v>
      </c>
      <c r="I145">
        <v>37.634599999999999</v>
      </c>
      <c r="J145">
        <v>49.442700000000002</v>
      </c>
      <c r="K145">
        <v>34.458199999999998</v>
      </c>
      <c r="L145">
        <v>52.885899999999999</v>
      </c>
      <c r="M145">
        <v>116</v>
      </c>
      <c r="N145">
        <v>267</v>
      </c>
    </row>
    <row r="146" spans="1:14" x14ac:dyDescent="0.35">
      <c r="A146">
        <v>90632</v>
      </c>
      <c r="B146" t="s">
        <v>197</v>
      </c>
      <c r="C146" t="s">
        <v>40</v>
      </c>
      <c r="D146" t="s">
        <v>29</v>
      </c>
      <c r="E146" t="s">
        <v>24</v>
      </c>
      <c r="F146" t="s">
        <v>196</v>
      </c>
      <c r="G146" t="s">
        <v>32</v>
      </c>
      <c r="H146">
        <v>43.3718</v>
      </c>
      <c r="I146">
        <v>39.731099999999998</v>
      </c>
      <c r="J146">
        <v>47.0854</v>
      </c>
      <c r="K146">
        <v>37.687199999999997</v>
      </c>
      <c r="L146">
        <v>49.2363</v>
      </c>
      <c r="M146">
        <v>301</v>
      </c>
      <c r="N146">
        <v>694</v>
      </c>
    </row>
    <row r="147" spans="1:14" x14ac:dyDescent="0.35">
      <c r="A147">
        <v>90632</v>
      </c>
      <c r="B147" t="s">
        <v>197</v>
      </c>
      <c r="C147" t="s">
        <v>47</v>
      </c>
      <c r="D147" t="s">
        <v>29</v>
      </c>
      <c r="E147" t="s">
        <v>24</v>
      </c>
      <c r="F147" t="s">
        <v>196</v>
      </c>
      <c r="G147" t="s">
        <v>32</v>
      </c>
      <c r="H147">
        <v>43.333300000000001</v>
      </c>
      <c r="I147">
        <v>39.682899999999997</v>
      </c>
      <c r="J147">
        <v>47.057600000000001</v>
      </c>
      <c r="K147">
        <v>37.633899999999997</v>
      </c>
      <c r="L147">
        <v>49.214799999999997</v>
      </c>
      <c r="M147">
        <v>299</v>
      </c>
      <c r="N147">
        <v>690</v>
      </c>
    </row>
    <row r="148" spans="1:14" x14ac:dyDescent="0.35">
      <c r="A148">
        <v>90632</v>
      </c>
      <c r="B148" t="s">
        <v>197</v>
      </c>
      <c r="C148" t="s">
        <v>114</v>
      </c>
      <c r="D148" t="s">
        <v>29</v>
      </c>
      <c r="E148" t="s">
        <v>24</v>
      </c>
      <c r="F148" t="s">
        <v>196</v>
      </c>
      <c r="G148" t="s">
        <v>32</v>
      </c>
      <c r="H148">
        <v>43.243200000000002</v>
      </c>
      <c r="I148">
        <v>32.566099999999999</v>
      </c>
      <c r="J148">
        <v>54.587299999999999</v>
      </c>
      <c r="K148">
        <v>27.248799999999999</v>
      </c>
      <c r="L148">
        <v>60.782200000000003</v>
      </c>
      <c r="M148">
        <v>32</v>
      </c>
      <c r="N148">
        <v>74</v>
      </c>
    </row>
    <row r="149" spans="1:14" x14ac:dyDescent="0.35">
      <c r="A149">
        <v>90632</v>
      </c>
      <c r="B149" t="s">
        <v>197</v>
      </c>
      <c r="C149" t="s">
        <v>111</v>
      </c>
      <c r="D149" t="s">
        <v>29</v>
      </c>
      <c r="E149" t="s">
        <v>24</v>
      </c>
      <c r="F149" t="s">
        <v>196</v>
      </c>
      <c r="G149" t="s">
        <v>32</v>
      </c>
      <c r="H149">
        <v>43.137300000000003</v>
      </c>
      <c r="I149">
        <v>39.7791</v>
      </c>
      <c r="J149">
        <v>46.559699999999999</v>
      </c>
      <c r="K149">
        <v>37.889299999999999</v>
      </c>
      <c r="L149">
        <v>48.543900000000001</v>
      </c>
      <c r="M149">
        <v>352</v>
      </c>
      <c r="N149">
        <v>816</v>
      </c>
    </row>
    <row r="150" spans="1:14" x14ac:dyDescent="0.35">
      <c r="A150">
        <v>90632</v>
      </c>
      <c r="B150" t="s">
        <v>197</v>
      </c>
      <c r="C150" t="s">
        <v>95</v>
      </c>
      <c r="D150" t="s">
        <v>29</v>
      </c>
      <c r="E150" t="s">
        <v>24</v>
      </c>
      <c r="F150" t="s">
        <v>196</v>
      </c>
      <c r="G150" t="s">
        <v>32</v>
      </c>
      <c r="H150">
        <v>43.043500000000002</v>
      </c>
      <c r="I150">
        <v>38.594700000000003</v>
      </c>
      <c r="J150">
        <v>47.607399999999998</v>
      </c>
      <c r="K150">
        <v>36.122399999999999</v>
      </c>
      <c r="L150">
        <v>50.247500000000002</v>
      </c>
      <c r="M150">
        <v>198</v>
      </c>
      <c r="N150">
        <v>460</v>
      </c>
    </row>
    <row r="151" spans="1:14" x14ac:dyDescent="0.35">
      <c r="A151">
        <v>90632</v>
      </c>
      <c r="B151" t="s">
        <v>197</v>
      </c>
      <c r="C151" t="s">
        <v>46</v>
      </c>
      <c r="D151" t="s">
        <v>29</v>
      </c>
      <c r="E151" t="s">
        <v>24</v>
      </c>
      <c r="F151" t="s">
        <v>196</v>
      </c>
      <c r="G151" t="s">
        <v>32</v>
      </c>
      <c r="H151">
        <v>42.637999999999998</v>
      </c>
      <c r="I151">
        <v>37.386000000000003</v>
      </c>
      <c r="J151">
        <v>48.061599999999999</v>
      </c>
      <c r="K151">
        <v>34.501899999999999</v>
      </c>
      <c r="L151">
        <v>51.193199999999997</v>
      </c>
      <c r="M151">
        <v>139</v>
      </c>
      <c r="N151">
        <v>326</v>
      </c>
    </row>
    <row r="152" spans="1:14" x14ac:dyDescent="0.35">
      <c r="A152">
        <v>90632</v>
      </c>
      <c r="B152" t="s">
        <v>197</v>
      </c>
      <c r="C152" t="s">
        <v>131</v>
      </c>
      <c r="D152" t="s">
        <v>29</v>
      </c>
      <c r="E152" t="s">
        <v>24</v>
      </c>
      <c r="F152" t="s">
        <v>196</v>
      </c>
      <c r="G152" t="s">
        <v>32</v>
      </c>
      <c r="H152">
        <v>39.893599999999999</v>
      </c>
      <c r="I152">
        <v>33.163699999999999</v>
      </c>
      <c r="J152">
        <v>47.028199999999998</v>
      </c>
      <c r="K152">
        <v>29.604800000000001</v>
      </c>
      <c r="L152">
        <v>51.159500000000001</v>
      </c>
      <c r="M152">
        <v>75</v>
      </c>
      <c r="N152">
        <v>188</v>
      </c>
    </row>
    <row r="153" spans="1:14" x14ac:dyDescent="0.35">
      <c r="A153">
        <v>90632</v>
      </c>
      <c r="B153" t="s">
        <v>197</v>
      </c>
      <c r="C153" t="s">
        <v>144</v>
      </c>
      <c r="D153" t="s">
        <v>29</v>
      </c>
      <c r="E153" t="s">
        <v>24</v>
      </c>
      <c r="F153" t="s">
        <v>196</v>
      </c>
      <c r="G153" t="s">
        <v>32</v>
      </c>
      <c r="H153">
        <v>38.219900000000003</v>
      </c>
      <c r="I153">
        <v>31.6252</v>
      </c>
      <c r="J153">
        <v>45.2791</v>
      </c>
      <c r="K153">
        <v>28.162500000000001</v>
      </c>
      <c r="L153">
        <v>49.3992</v>
      </c>
      <c r="M153">
        <v>73</v>
      </c>
      <c r="N153">
        <v>191</v>
      </c>
    </row>
    <row r="154" spans="1:14" x14ac:dyDescent="0.35">
      <c r="A154">
        <v>90632</v>
      </c>
      <c r="B154" t="s">
        <v>197</v>
      </c>
      <c r="C154" t="s">
        <v>133</v>
      </c>
      <c r="D154" t="s">
        <v>29</v>
      </c>
      <c r="E154" t="s">
        <v>24</v>
      </c>
      <c r="F154" t="s">
        <v>196</v>
      </c>
      <c r="G154" t="s">
        <v>32</v>
      </c>
      <c r="H154">
        <v>33.333300000000001</v>
      </c>
      <c r="I154">
        <v>16.2788</v>
      </c>
      <c r="J154">
        <v>56.250500000000002</v>
      </c>
      <c r="K154">
        <v>10.7615</v>
      </c>
      <c r="L154">
        <v>67.459599999999995</v>
      </c>
      <c r="M154">
        <v>6</v>
      </c>
      <c r="N154">
        <v>18</v>
      </c>
    </row>
    <row r="155" spans="1:14" x14ac:dyDescent="0.35">
      <c r="A155">
        <v>90632</v>
      </c>
      <c r="B155" t="s">
        <v>197</v>
      </c>
      <c r="C155" t="s">
        <v>122</v>
      </c>
      <c r="D155" t="s">
        <v>29</v>
      </c>
      <c r="E155" t="s">
        <v>24</v>
      </c>
      <c r="F155" t="s">
        <v>196</v>
      </c>
      <c r="G155" t="s">
        <v>32</v>
      </c>
      <c r="M155">
        <v>0</v>
      </c>
      <c r="N155">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D967-7A37-4E70-AE1C-D03D58020750}">
  <dimension ref="A1:O155"/>
  <sheetViews>
    <sheetView workbookViewId="0">
      <selection activeCell="A2" sqref="A2"/>
    </sheetView>
  </sheetViews>
  <sheetFormatPr defaultRowHeight="14.5" x14ac:dyDescent="0.35"/>
  <sheetData>
    <row r="1" spans="1:15" x14ac:dyDescent="0.35">
      <c r="A1" t="s">
        <v>1</v>
      </c>
      <c r="B1" t="s">
        <v>2</v>
      </c>
      <c r="C1" t="s">
        <v>4</v>
      </c>
      <c r="D1" t="s">
        <v>7</v>
      </c>
      <c r="E1" t="s">
        <v>8</v>
      </c>
      <c r="F1" t="s">
        <v>9</v>
      </c>
      <c r="G1" t="s">
        <v>10</v>
      </c>
      <c r="H1" t="s">
        <v>11</v>
      </c>
      <c r="I1" t="s">
        <v>14</v>
      </c>
      <c r="J1" t="s">
        <v>15</v>
      </c>
      <c r="K1" t="s">
        <v>16</v>
      </c>
      <c r="L1" t="s">
        <v>17</v>
      </c>
      <c r="M1" t="s">
        <v>18</v>
      </c>
      <c r="N1" t="s">
        <v>19</v>
      </c>
      <c r="O1" t="s">
        <v>20</v>
      </c>
    </row>
    <row r="2" spans="1:15" x14ac:dyDescent="0.35">
      <c r="A2" t="s">
        <v>21</v>
      </c>
      <c r="C2" t="s">
        <v>23</v>
      </c>
      <c r="D2" t="s">
        <v>25</v>
      </c>
      <c r="E2" t="s">
        <v>32</v>
      </c>
      <c r="F2">
        <v>19.8</v>
      </c>
      <c r="G2">
        <v>19.8</v>
      </c>
      <c r="H2">
        <v>19.8</v>
      </c>
      <c r="I2" s="1">
        <v>2130679</v>
      </c>
      <c r="J2">
        <v>10768248</v>
      </c>
      <c r="K2" t="s">
        <v>33</v>
      </c>
      <c r="L2" t="s">
        <v>36</v>
      </c>
      <c r="N2">
        <v>20240000</v>
      </c>
      <c r="O2" t="s">
        <v>27</v>
      </c>
    </row>
    <row r="3" spans="1:15" x14ac:dyDescent="0.35">
      <c r="A3" t="s">
        <v>21</v>
      </c>
      <c r="B3" t="s">
        <v>22</v>
      </c>
      <c r="C3" t="s">
        <v>71</v>
      </c>
      <c r="D3" t="s">
        <v>25</v>
      </c>
      <c r="E3" t="s">
        <v>32</v>
      </c>
      <c r="F3">
        <v>39.5</v>
      </c>
      <c r="G3">
        <v>39.299999999999997</v>
      </c>
      <c r="H3">
        <v>39.799999999999997</v>
      </c>
      <c r="I3" s="1">
        <v>102507</v>
      </c>
      <c r="J3">
        <v>259195</v>
      </c>
      <c r="K3" t="s">
        <v>33</v>
      </c>
      <c r="L3" t="s">
        <v>195</v>
      </c>
      <c r="M3" t="s">
        <v>195</v>
      </c>
      <c r="N3">
        <v>20240000</v>
      </c>
      <c r="O3" t="s">
        <v>27</v>
      </c>
    </row>
    <row r="4" spans="1:15" x14ac:dyDescent="0.35">
      <c r="A4" t="s">
        <v>21</v>
      </c>
      <c r="B4" t="s">
        <v>22</v>
      </c>
      <c r="C4" t="s">
        <v>60</v>
      </c>
      <c r="D4" t="s">
        <v>25</v>
      </c>
      <c r="E4" t="s">
        <v>32</v>
      </c>
      <c r="F4">
        <v>39.299999999999997</v>
      </c>
      <c r="G4">
        <v>38.9</v>
      </c>
      <c r="H4">
        <v>39.6</v>
      </c>
      <c r="I4" s="1">
        <v>49390</v>
      </c>
      <c r="J4">
        <v>125834</v>
      </c>
      <c r="K4" t="s">
        <v>33</v>
      </c>
      <c r="L4" t="s">
        <v>195</v>
      </c>
      <c r="M4" t="s">
        <v>195</v>
      </c>
      <c r="N4">
        <v>20240000</v>
      </c>
      <c r="O4" t="s">
        <v>27</v>
      </c>
    </row>
    <row r="5" spans="1:15" x14ac:dyDescent="0.35">
      <c r="A5" t="s">
        <v>21</v>
      </c>
      <c r="B5" t="s">
        <v>22</v>
      </c>
      <c r="C5" t="s">
        <v>98</v>
      </c>
      <c r="D5" t="s">
        <v>25</v>
      </c>
      <c r="E5" t="s">
        <v>32</v>
      </c>
      <c r="F5">
        <v>38.200000000000003</v>
      </c>
      <c r="G5">
        <v>37.6</v>
      </c>
      <c r="H5">
        <v>38.799999999999997</v>
      </c>
      <c r="I5" s="1">
        <v>21649</v>
      </c>
      <c r="J5">
        <v>56659</v>
      </c>
      <c r="K5" t="s">
        <v>33</v>
      </c>
      <c r="L5" t="s">
        <v>195</v>
      </c>
      <c r="M5" t="s">
        <v>195</v>
      </c>
      <c r="N5">
        <v>20240000</v>
      </c>
      <c r="O5" t="s">
        <v>27</v>
      </c>
    </row>
    <row r="6" spans="1:15" x14ac:dyDescent="0.35">
      <c r="A6" t="s">
        <v>21</v>
      </c>
      <c r="B6" t="s">
        <v>22</v>
      </c>
      <c r="C6" t="s">
        <v>91</v>
      </c>
      <c r="D6" t="s">
        <v>25</v>
      </c>
      <c r="E6" t="s">
        <v>32</v>
      </c>
      <c r="F6">
        <v>36.200000000000003</v>
      </c>
      <c r="G6">
        <v>35.5</v>
      </c>
      <c r="H6">
        <v>36.9</v>
      </c>
      <c r="I6" s="1">
        <v>13348</v>
      </c>
      <c r="J6">
        <v>36892</v>
      </c>
      <c r="K6" t="s">
        <v>33</v>
      </c>
      <c r="L6" t="s">
        <v>195</v>
      </c>
      <c r="M6" t="s">
        <v>195</v>
      </c>
      <c r="N6">
        <v>20240000</v>
      </c>
      <c r="O6" t="s">
        <v>27</v>
      </c>
    </row>
    <row r="7" spans="1:15" x14ac:dyDescent="0.35">
      <c r="A7" t="s">
        <v>21</v>
      </c>
      <c r="B7" t="s">
        <v>22</v>
      </c>
      <c r="C7" t="s">
        <v>68</v>
      </c>
      <c r="D7" t="s">
        <v>25</v>
      </c>
      <c r="E7" t="s">
        <v>32</v>
      </c>
      <c r="F7">
        <v>35.5</v>
      </c>
      <c r="G7">
        <v>35.1</v>
      </c>
      <c r="H7">
        <v>36</v>
      </c>
      <c r="I7" s="1">
        <v>27977</v>
      </c>
      <c r="J7">
        <v>78758</v>
      </c>
      <c r="K7" t="s">
        <v>33</v>
      </c>
      <c r="L7" t="s">
        <v>195</v>
      </c>
      <c r="M7" t="s">
        <v>195</v>
      </c>
      <c r="N7">
        <v>20240000</v>
      </c>
      <c r="O7" t="s">
        <v>27</v>
      </c>
    </row>
    <row r="8" spans="1:15" x14ac:dyDescent="0.35">
      <c r="A8" t="s">
        <v>21</v>
      </c>
      <c r="B8" t="s">
        <v>22</v>
      </c>
      <c r="C8" t="s">
        <v>99</v>
      </c>
      <c r="D8" t="s">
        <v>25</v>
      </c>
      <c r="E8" t="s">
        <v>32</v>
      </c>
      <c r="F8">
        <v>35.5</v>
      </c>
      <c r="G8">
        <v>35.1</v>
      </c>
      <c r="H8">
        <v>35.9</v>
      </c>
      <c r="I8" s="1">
        <v>41483</v>
      </c>
      <c r="J8">
        <v>116876</v>
      </c>
      <c r="K8" t="s">
        <v>33</v>
      </c>
      <c r="L8" t="s">
        <v>195</v>
      </c>
      <c r="M8" t="s">
        <v>195</v>
      </c>
      <c r="N8">
        <v>20240000</v>
      </c>
      <c r="O8" t="s">
        <v>27</v>
      </c>
    </row>
    <row r="9" spans="1:15" x14ac:dyDescent="0.35">
      <c r="A9" t="s">
        <v>21</v>
      </c>
      <c r="B9" t="s">
        <v>22</v>
      </c>
      <c r="C9" t="s">
        <v>117</v>
      </c>
      <c r="D9" t="s">
        <v>25</v>
      </c>
      <c r="E9" t="s">
        <v>32</v>
      </c>
      <c r="F9">
        <v>35</v>
      </c>
      <c r="G9">
        <v>34.4</v>
      </c>
      <c r="H9">
        <v>35.6</v>
      </c>
      <c r="I9" s="1">
        <v>19427</v>
      </c>
      <c r="J9">
        <v>55498</v>
      </c>
      <c r="K9" t="s">
        <v>33</v>
      </c>
      <c r="L9" t="s">
        <v>195</v>
      </c>
      <c r="M9" t="s">
        <v>195</v>
      </c>
      <c r="N9">
        <v>20240000</v>
      </c>
      <c r="O9" t="s">
        <v>27</v>
      </c>
    </row>
    <row r="10" spans="1:15" x14ac:dyDescent="0.35">
      <c r="A10" t="s">
        <v>21</v>
      </c>
      <c r="B10" t="s">
        <v>22</v>
      </c>
      <c r="C10" t="s">
        <v>135</v>
      </c>
      <c r="D10" t="s">
        <v>25</v>
      </c>
      <c r="E10" t="s">
        <v>32</v>
      </c>
      <c r="F10">
        <v>34.5</v>
      </c>
      <c r="G10">
        <v>34</v>
      </c>
      <c r="H10">
        <v>35</v>
      </c>
      <c r="I10" s="1">
        <v>27709</v>
      </c>
      <c r="J10">
        <v>80340</v>
      </c>
      <c r="K10" t="s">
        <v>33</v>
      </c>
      <c r="L10" t="s">
        <v>195</v>
      </c>
      <c r="M10" t="s">
        <v>195</v>
      </c>
      <c r="N10">
        <v>20240000</v>
      </c>
      <c r="O10" t="s">
        <v>27</v>
      </c>
    </row>
    <row r="11" spans="1:15" x14ac:dyDescent="0.35">
      <c r="A11" t="s">
        <v>21</v>
      </c>
      <c r="B11" t="s">
        <v>22</v>
      </c>
      <c r="C11" t="s">
        <v>54</v>
      </c>
      <c r="D11" t="s">
        <v>25</v>
      </c>
      <c r="E11" t="s">
        <v>32</v>
      </c>
      <c r="F11">
        <v>34.4</v>
      </c>
      <c r="G11">
        <v>33.6</v>
      </c>
      <c r="H11">
        <v>35.1</v>
      </c>
      <c r="I11" s="1">
        <v>10911</v>
      </c>
      <c r="J11">
        <v>31762</v>
      </c>
      <c r="K11" t="s">
        <v>33</v>
      </c>
      <c r="L11" t="s">
        <v>195</v>
      </c>
      <c r="M11" t="s">
        <v>195</v>
      </c>
      <c r="N11">
        <v>20240000</v>
      </c>
      <c r="O11" t="s">
        <v>27</v>
      </c>
    </row>
    <row r="12" spans="1:15" x14ac:dyDescent="0.35">
      <c r="A12" t="s">
        <v>21</v>
      </c>
      <c r="B12" t="s">
        <v>22</v>
      </c>
      <c r="C12" t="s">
        <v>145</v>
      </c>
      <c r="D12" t="s">
        <v>25</v>
      </c>
      <c r="E12" t="s">
        <v>32</v>
      </c>
      <c r="F12">
        <v>33.700000000000003</v>
      </c>
      <c r="G12">
        <v>33.200000000000003</v>
      </c>
      <c r="H12">
        <v>34.299999999999997</v>
      </c>
      <c r="I12" s="1">
        <v>20591</v>
      </c>
      <c r="J12">
        <v>61014</v>
      </c>
      <c r="K12" t="s">
        <v>33</v>
      </c>
      <c r="L12" t="s">
        <v>195</v>
      </c>
      <c r="M12" t="s">
        <v>195</v>
      </c>
      <c r="N12">
        <v>20240000</v>
      </c>
      <c r="O12" t="s">
        <v>27</v>
      </c>
    </row>
    <row r="13" spans="1:15" x14ac:dyDescent="0.35">
      <c r="A13" t="s">
        <v>21</v>
      </c>
      <c r="B13" t="s">
        <v>22</v>
      </c>
      <c r="C13" t="s">
        <v>63</v>
      </c>
      <c r="D13" t="s">
        <v>25</v>
      </c>
      <c r="E13" t="s">
        <v>32</v>
      </c>
      <c r="F13">
        <v>33.200000000000003</v>
      </c>
      <c r="G13">
        <v>32.700000000000003</v>
      </c>
      <c r="H13">
        <v>33.799999999999997</v>
      </c>
      <c r="I13" s="1">
        <v>18403</v>
      </c>
      <c r="J13">
        <v>55396</v>
      </c>
      <c r="K13" t="s">
        <v>33</v>
      </c>
      <c r="L13" t="s">
        <v>195</v>
      </c>
      <c r="M13" t="s">
        <v>195</v>
      </c>
      <c r="N13">
        <v>20240000</v>
      </c>
      <c r="O13" t="s">
        <v>27</v>
      </c>
    </row>
    <row r="14" spans="1:15" x14ac:dyDescent="0.35">
      <c r="A14" t="s">
        <v>21</v>
      </c>
      <c r="B14" t="s">
        <v>22</v>
      </c>
      <c r="C14" t="s">
        <v>101</v>
      </c>
      <c r="D14" t="s">
        <v>25</v>
      </c>
      <c r="E14" t="s">
        <v>32</v>
      </c>
      <c r="F14">
        <v>33.200000000000003</v>
      </c>
      <c r="G14">
        <v>32.700000000000003</v>
      </c>
      <c r="H14">
        <v>33.799999999999997</v>
      </c>
      <c r="I14" s="1">
        <v>22307</v>
      </c>
      <c r="J14">
        <v>67099</v>
      </c>
      <c r="K14" t="s">
        <v>33</v>
      </c>
      <c r="L14" t="s">
        <v>195</v>
      </c>
      <c r="M14" t="s">
        <v>195</v>
      </c>
      <c r="N14">
        <v>20240000</v>
      </c>
      <c r="O14" t="s">
        <v>27</v>
      </c>
    </row>
    <row r="15" spans="1:15" x14ac:dyDescent="0.35">
      <c r="A15" t="s">
        <v>21</v>
      </c>
      <c r="B15" t="s">
        <v>22</v>
      </c>
      <c r="C15" t="s">
        <v>65</v>
      </c>
      <c r="D15" t="s">
        <v>25</v>
      </c>
      <c r="E15" t="s">
        <v>32</v>
      </c>
      <c r="F15">
        <v>32.9</v>
      </c>
      <c r="G15">
        <v>32.4</v>
      </c>
      <c r="H15">
        <v>33.4</v>
      </c>
      <c r="I15" s="1">
        <v>19932</v>
      </c>
      <c r="J15">
        <v>60611</v>
      </c>
      <c r="K15" t="s">
        <v>33</v>
      </c>
      <c r="L15" t="s">
        <v>195</v>
      </c>
      <c r="M15" t="s">
        <v>195</v>
      </c>
      <c r="N15">
        <v>20240000</v>
      </c>
      <c r="O15" t="s">
        <v>27</v>
      </c>
    </row>
    <row r="16" spans="1:15" x14ac:dyDescent="0.35">
      <c r="A16" t="s">
        <v>21</v>
      </c>
      <c r="B16" t="s">
        <v>22</v>
      </c>
      <c r="C16" t="s">
        <v>66</v>
      </c>
      <c r="D16" t="s">
        <v>25</v>
      </c>
      <c r="E16" t="s">
        <v>32</v>
      </c>
      <c r="F16">
        <v>32.799999999999997</v>
      </c>
      <c r="G16">
        <v>32.299999999999997</v>
      </c>
      <c r="H16">
        <v>33.299999999999997</v>
      </c>
      <c r="I16" s="1">
        <v>20898</v>
      </c>
      <c r="J16">
        <v>63682</v>
      </c>
      <c r="K16" t="s">
        <v>33</v>
      </c>
      <c r="L16" t="s">
        <v>195</v>
      </c>
      <c r="M16" t="s">
        <v>195</v>
      </c>
      <c r="N16">
        <v>20240000</v>
      </c>
      <c r="O16" t="s">
        <v>27</v>
      </c>
    </row>
    <row r="17" spans="1:15" x14ac:dyDescent="0.35">
      <c r="A17" t="s">
        <v>21</v>
      </c>
      <c r="B17" t="s">
        <v>22</v>
      </c>
      <c r="C17" t="s">
        <v>97</v>
      </c>
      <c r="D17" t="s">
        <v>25</v>
      </c>
      <c r="E17" t="s">
        <v>32</v>
      </c>
      <c r="F17">
        <v>32</v>
      </c>
      <c r="G17">
        <v>31.5</v>
      </c>
      <c r="H17">
        <v>32.6</v>
      </c>
      <c r="I17" s="1">
        <v>16494</v>
      </c>
      <c r="J17">
        <v>51478</v>
      </c>
      <c r="K17" t="s">
        <v>33</v>
      </c>
      <c r="L17" t="s">
        <v>195</v>
      </c>
      <c r="M17" t="s">
        <v>195</v>
      </c>
      <c r="N17">
        <v>20240000</v>
      </c>
      <c r="O17" t="s">
        <v>27</v>
      </c>
    </row>
    <row r="18" spans="1:15" x14ac:dyDescent="0.35">
      <c r="A18" t="s">
        <v>21</v>
      </c>
      <c r="B18" t="s">
        <v>22</v>
      </c>
      <c r="C18" t="s">
        <v>118</v>
      </c>
      <c r="D18" t="s">
        <v>25</v>
      </c>
      <c r="E18" t="s">
        <v>32</v>
      </c>
      <c r="F18">
        <v>31.7</v>
      </c>
      <c r="G18">
        <v>31.1</v>
      </c>
      <c r="H18">
        <v>32.200000000000003</v>
      </c>
      <c r="I18" s="1">
        <v>17561</v>
      </c>
      <c r="J18">
        <v>55475</v>
      </c>
      <c r="K18" t="s">
        <v>33</v>
      </c>
      <c r="L18" t="s">
        <v>195</v>
      </c>
      <c r="M18" t="s">
        <v>195</v>
      </c>
      <c r="N18">
        <v>20240000</v>
      </c>
      <c r="O18" t="s">
        <v>27</v>
      </c>
    </row>
    <row r="19" spans="1:15" x14ac:dyDescent="0.35">
      <c r="A19" t="s">
        <v>21</v>
      </c>
      <c r="B19" t="s">
        <v>22</v>
      </c>
      <c r="C19" t="s">
        <v>85</v>
      </c>
      <c r="D19" t="s">
        <v>25</v>
      </c>
      <c r="E19" t="s">
        <v>32</v>
      </c>
      <c r="F19">
        <v>31</v>
      </c>
      <c r="G19">
        <v>30.5</v>
      </c>
      <c r="H19">
        <v>31.5</v>
      </c>
      <c r="I19" s="1">
        <v>18798</v>
      </c>
      <c r="J19">
        <v>60624</v>
      </c>
      <c r="K19" t="s">
        <v>33</v>
      </c>
      <c r="L19" t="s">
        <v>195</v>
      </c>
      <c r="M19" t="s">
        <v>195</v>
      </c>
      <c r="N19">
        <v>20240000</v>
      </c>
      <c r="O19" t="s">
        <v>27</v>
      </c>
    </row>
    <row r="20" spans="1:15" x14ac:dyDescent="0.35">
      <c r="A20" t="s">
        <v>21</v>
      </c>
      <c r="B20" t="s">
        <v>22</v>
      </c>
      <c r="C20" t="s">
        <v>62</v>
      </c>
      <c r="D20" t="s">
        <v>25</v>
      </c>
      <c r="E20" t="s">
        <v>32</v>
      </c>
      <c r="F20">
        <v>30.8</v>
      </c>
      <c r="G20">
        <v>30</v>
      </c>
      <c r="H20">
        <v>31.5</v>
      </c>
      <c r="I20" s="1">
        <v>9144</v>
      </c>
      <c r="J20">
        <v>29713</v>
      </c>
      <c r="K20" t="s">
        <v>33</v>
      </c>
      <c r="L20" t="s">
        <v>195</v>
      </c>
      <c r="M20" t="s">
        <v>195</v>
      </c>
      <c r="N20">
        <v>20240000</v>
      </c>
      <c r="O20" t="s">
        <v>27</v>
      </c>
    </row>
    <row r="21" spans="1:15" x14ac:dyDescent="0.35">
      <c r="A21" t="s">
        <v>21</v>
      </c>
      <c r="B21" t="s">
        <v>22</v>
      </c>
      <c r="C21" t="s">
        <v>90</v>
      </c>
      <c r="D21" t="s">
        <v>25</v>
      </c>
      <c r="E21" t="s">
        <v>32</v>
      </c>
      <c r="F21">
        <v>30.5</v>
      </c>
      <c r="G21">
        <v>29.7</v>
      </c>
      <c r="H21">
        <v>31.3</v>
      </c>
      <c r="I21" s="1">
        <v>7817</v>
      </c>
      <c r="J21">
        <v>25618</v>
      </c>
      <c r="K21" t="s">
        <v>33</v>
      </c>
      <c r="L21" t="s">
        <v>195</v>
      </c>
      <c r="M21" t="s">
        <v>195</v>
      </c>
      <c r="N21">
        <v>20240000</v>
      </c>
      <c r="O21" t="s">
        <v>27</v>
      </c>
    </row>
    <row r="22" spans="1:15" x14ac:dyDescent="0.35">
      <c r="A22" t="s">
        <v>21</v>
      </c>
      <c r="B22" t="s">
        <v>22</v>
      </c>
      <c r="C22" t="s">
        <v>58</v>
      </c>
      <c r="D22" t="s">
        <v>25</v>
      </c>
      <c r="E22" t="s">
        <v>32</v>
      </c>
      <c r="F22">
        <v>30.3</v>
      </c>
      <c r="G22">
        <v>29.9</v>
      </c>
      <c r="H22">
        <v>30.7</v>
      </c>
      <c r="I22" s="1">
        <v>26703</v>
      </c>
      <c r="J22">
        <v>88154</v>
      </c>
      <c r="K22" t="s">
        <v>33</v>
      </c>
      <c r="L22" t="s">
        <v>195</v>
      </c>
      <c r="M22" t="s">
        <v>195</v>
      </c>
      <c r="N22">
        <v>20240000</v>
      </c>
      <c r="O22" t="s">
        <v>27</v>
      </c>
    </row>
    <row r="23" spans="1:15" x14ac:dyDescent="0.35">
      <c r="A23" t="s">
        <v>21</v>
      </c>
      <c r="B23" t="s">
        <v>22</v>
      </c>
      <c r="C23" t="s">
        <v>105</v>
      </c>
      <c r="D23" t="s">
        <v>25</v>
      </c>
      <c r="E23" t="s">
        <v>32</v>
      </c>
      <c r="F23">
        <v>29.6</v>
      </c>
      <c r="G23">
        <v>29.2</v>
      </c>
      <c r="H23">
        <v>30</v>
      </c>
      <c r="I23" s="1">
        <v>25849</v>
      </c>
      <c r="J23">
        <v>87288</v>
      </c>
      <c r="K23" t="s">
        <v>33</v>
      </c>
      <c r="L23" t="s">
        <v>195</v>
      </c>
      <c r="M23" t="s">
        <v>195</v>
      </c>
      <c r="N23">
        <v>20240000</v>
      </c>
      <c r="O23" t="s">
        <v>27</v>
      </c>
    </row>
    <row r="24" spans="1:15" x14ac:dyDescent="0.35">
      <c r="A24" t="s">
        <v>21</v>
      </c>
      <c r="B24" t="s">
        <v>22</v>
      </c>
      <c r="C24" t="s">
        <v>83</v>
      </c>
      <c r="D24" t="s">
        <v>25</v>
      </c>
      <c r="E24" t="s">
        <v>32</v>
      </c>
      <c r="F24">
        <v>28.5</v>
      </c>
      <c r="G24">
        <v>28.1</v>
      </c>
      <c r="H24">
        <v>28.9</v>
      </c>
      <c r="I24" s="1">
        <v>29422</v>
      </c>
      <c r="J24">
        <v>103131</v>
      </c>
      <c r="K24" t="s">
        <v>33</v>
      </c>
      <c r="L24" t="s">
        <v>195</v>
      </c>
      <c r="M24" t="s">
        <v>195</v>
      </c>
      <c r="N24">
        <v>20240000</v>
      </c>
      <c r="O24" t="s">
        <v>27</v>
      </c>
    </row>
    <row r="25" spans="1:15" x14ac:dyDescent="0.35">
      <c r="A25" t="s">
        <v>21</v>
      </c>
      <c r="B25" t="s">
        <v>22</v>
      </c>
      <c r="C25" t="s">
        <v>86</v>
      </c>
      <c r="D25" t="s">
        <v>25</v>
      </c>
      <c r="E25" t="s">
        <v>32</v>
      </c>
      <c r="F25">
        <v>28.2</v>
      </c>
      <c r="G25">
        <v>27.6</v>
      </c>
      <c r="H25">
        <v>28.7</v>
      </c>
      <c r="I25" s="1">
        <v>12969</v>
      </c>
      <c r="J25">
        <v>46054</v>
      </c>
      <c r="K25" t="s">
        <v>33</v>
      </c>
      <c r="L25" t="s">
        <v>195</v>
      </c>
      <c r="M25" t="s">
        <v>195</v>
      </c>
      <c r="N25">
        <v>20240000</v>
      </c>
      <c r="O25" t="s">
        <v>27</v>
      </c>
    </row>
    <row r="26" spans="1:15" x14ac:dyDescent="0.35">
      <c r="A26" t="s">
        <v>21</v>
      </c>
      <c r="B26" t="s">
        <v>22</v>
      </c>
      <c r="C26" t="s">
        <v>69</v>
      </c>
      <c r="D26" t="s">
        <v>25</v>
      </c>
      <c r="E26" t="s">
        <v>32</v>
      </c>
      <c r="F26">
        <v>28</v>
      </c>
      <c r="G26">
        <v>27.5</v>
      </c>
      <c r="H26">
        <v>28.5</v>
      </c>
      <c r="I26" s="1">
        <v>17699</v>
      </c>
      <c r="J26">
        <v>63221</v>
      </c>
      <c r="K26" t="s">
        <v>33</v>
      </c>
      <c r="L26" t="s">
        <v>195</v>
      </c>
      <c r="M26" t="s">
        <v>195</v>
      </c>
      <c r="N26">
        <v>20240000</v>
      </c>
      <c r="O26" t="s">
        <v>27</v>
      </c>
    </row>
    <row r="27" spans="1:15" x14ac:dyDescent="0.35">
      <c r="A27" t="s">
        <v>21</v>
      </c>
      <c r="B27" t="s">
        <v>22</v>
      </c>
      <c r="C27" t="s">
        <v>73</v>
      </c>
      <c r="D27" t="s">
        <v>25</v>
      </c>
      <c r="E27" t="s">
        <v>32</v>
      </c>
      <c r="F27">
        <v>27.9</v>
      </c>
      <c r="G27">
        <v>27.3</v>
      </c>
      <c r="H27">
        <v>28.4</v>
      </c>
      <c r="I27" s="1">
        <v>15310</v>
      </c>
      <c r="J27">
        <v>54956</v>
      </c>
      <c r="K27" t="s">
        <v>33</v>
      </c>
      <c r="L27" t="s">
        <v>195</v>
      </c>
      <c r="M27" t="s">
        <v>195</v>
      </c>
      <c r="N27">
        <v>20240000</v>
      </c>
      <c r="O27" t="s">
        <v>27</v>
      </c>
    </row>
    <row r="28" spans="1:15" x14ac:dyDescent="0.35">
      <c r="A28" t="s">
        <v>21</v>
      </c>
      <c r="B28" t="s">
        <v>22</v>
      </c>
      <c r="C28" t="s">
        <v>128</v>
      </c>
      <c r="D28" t="s">
        <v>25</v>
      </c>
      <c r="E28" t="s">
        <v>32</v>
      </c>
      <c r="F28">
        <v>27.6</v>
      </c>
      <c r="G28">
        <v>27.1</v>
      </c>
      <c r="H28">
        <v>28.2</v>
      </c>
      <c r="I28" s="1">
        <v>14156</v>
      </c>
      <c r="J28">
        <v>51216</v>
      </c>
      <c r="K28" t="s">
        <v>33</v>
      </c>
      <c r="L28" t="s">
        <v>195</v>
      </c>
      <c r="M28" t="s">
        <v>195</v>
      </c>
      <c r="N28">
        <v>20240000</v>
      </c>
      <c r="O28" t="s">
        <v>27</v>
      </c>
    </row>
    <row r="29" spans="1:15" x14ac:dyDescent="0.35">
      <c r="A29" t="s">
        <v>21</v>
      </c>
      <c r="B29" t="s">
        <v>22</v>
      </c>
      <c r="C29" t="s">
        <v>84</v>
      </c>
      <c r="D29" t="s">
        <v>25</v>
      </c>
      <c r="E29" t="s">
        <v>32</v>
      </c>
      <c r="F29">
        <v>27.3</v>
      </c>
      <c r="G29">
        <v>26.8</v>
      </c>
      <c r="H29">
        <v>27.9</v>
      </c>
      <c r="I29" s="1">
        <v>14386</v>
      </c>
      <c r="J29">
        <v>52674</v>
      </c>
      <c r="K29" t="s">
        <v>33</v>
      </c>
      <c r="L29" t="s">
        <v>195</v>
      </c>
      <c r="M29" t="s">
        <v>195</v>
      </c>
      <c r="N29">
        <v>20240000</v>
      </c>
      <c r="O29" t="s">
        <v>27</v>
      </c>
    </row>
    <row r="30" spans="1:15" x14ac:dyDescent="0.35">
      <c r="A30" t="s">
        <v>21</v>
      </c>
      <c r="B30" t="s">
        <v>22</v>
      </c>
      <c r="C30" t="s">
        <v>55</v>
      </c>
      <c r="D30" t="s">
        <v>25</v>
      </c>
      <c r="E30" t="s">
        <v>32</v>
      </c>
      <c r="F30">
        <v>27.2</v>
      </c>
      <c r="G30">
        <v>26.3</v>
      </c>
      <c r="H30">
        <v>28.1</v>
      </c>
      <c r="I30" s="1">
        <v>5041</v>
      </c>
      <c r="J30">
        <v>18544</v>
      </c>
      <c r="K30" t="s">
        <v>33</v>
      </c>
      <c r="L30" t="s">
        <v>195</v>
      </c>
      <c r="M30" t="s">
        <v>195</v>
      </c>
      <c r="N30">
        <v>20240000</v>
      </c>
      <c r="O30" t="s">
        <v>27</v>
      </c>
    </row>
    <row r="31" spans="1:15" x14ac:dyDescent="0.35">
      <c r="A31" t="s">
        <v>21</v>
      </c>
      <c r="B31" t="s">
        <v>22</v>
      </c>
      <c r="C31" t="s">
        <v>59</v>
      </c>
      <c r="D31" t="s">
        <v>25</v>
      </c>
      <c r="E31" t="s">
        <v>32</v>
      </c>
      <c r="F31">
        <v>27.1</v>
      </c>
      <c r="G31">
        <v>26.5</v>
      </c>
      <c r="H31">
        <v>27.8</v>
      </c>
      <c r="I31" s="1">
        <v>10787</v>
      </c>
      <c r="J31">
        <v>39748</v>
      </c>
      <c r="K31" t="s">
        <v>33</v>
      </c>
      <c r="L31" t="s">
        <v>195</v>
      </c>
      <c r="M31" t="s">
        <v>195</v>
      </c>
      <c r="N31">
        <v>20240000</v>
      </c>
      <c r="O31" t="s">
        <v>27</v>
      </c>
    </row>
    <row r="32" spans="1:15" x14ac:dyDescent="0.35">
      <c r="A32" t="s">
        <v>21</v>
      </c>
      <c r="B32" t="s">
        <v>22</v>
      </c>
      <c r="C32" t="s">
        <v>94</v>
      </c>
      <c r="D32" t="s">
        <v>25</v>
      </c>
      <c r="E32" t="s">
        <v>32</v>
      </c>
      <c r="F32">
        <v>27</v>
      </c>
      <c r="G32">
        <v>26.5</v>
      </c>
      <c r="H32">
        <v>27.6</v>
      </c>
      <c r="I32" s="1">
        <v>12651</v>
      </c>
      <c r="J32">
        <v>46800</v>
      </c>
      <c r="K32" t="s">
        <v>33</v>
      </c>
      <c r="L32" t="s">
        <v>195</v>
      </c>
      <c r="M32" t="s">
        <v>195</v>
      </c>
      <c r="N32">
        <v>20240000</v>
      </c>
      <c r="O32" t="s">
        <v>27</v>
      </c>
    </row>
    <row r="33" spans="1:15" x14ac:dyDescent="0.35">
      <c r="A33" t="s">
        <v>21</v>
      </c>
      <c r="B33" t="s">
        <v>22</v>
      </c>
      <c r="C33" t="s">
        <v>153</v>
      </c>
      <c r="D33" t="s">
        <v>25</v>
      </c>
      <c r="E33" t="s">
        <v>32</v>
      </c>
      <c r="F33">
        <v>26.7</v>
      </c>
      <c r="G33">
        <v>26.2</v>
      </c>
      <c r="H33">
        <v>27.2</v>
      </c>
      <c r="I33" s="1">
        <v>14969</v>
      </c>
      <c r="J33">
        <v>56085</v>
      </c>
      <c r="K33" t="s">
        <v>33</v>
      </c>
      <c r="L33" t="s">
        <v>195</v>
      </c>
      <c r="M33" t="s">
        <v>195</v>
      </c>
      <c r="N33">
        <v>20240000</v>
      </c>
      <c r="O33" t="s">
        <v>27</v>
      </c>
    </row>
    <row r="34" spans="1:15" x14ac:dyDescent="0.35">
      <c r="A34" t="s">
        <v>21</v>
      </c>
      <c r="B34" t="s">
        <v>22</v>
      </c>
      <c r="C34" t="s">
        <v>80</v>
      </c>
      <c r="D34" t="s">
        <v>25</v>
      </c>
      <c r="E34" t="s">
        <v>32</v>
      </c>
      <c r="F34">
        <v>26.7</v>
      </c>
      <c r="G34">
        <v>26.1</v>
      </c>
      <c r="H34">
        <v>27.2</v>
      </c>
      <c r="I34" s="1">
        <v>14555</v>
      </c>
      <c r="J34">
        <v>54603</v>
      </c>
      <c r="K34" t="s">
        <v>33</v>
      </c>
      <c r="L34" t="s">
        <v>195</v>
      </c>
      <c r="M34" t="s">
        <v>195</v>
      </c>
      <c r="N34">
        <v>20240000</v>
      </c>
      <c r="O34" t="s">
        <v>27</v>
      </c>
    </row>
    <row r="35" spans="1:15" x14ac:dyDescent="0.35">
      <c r="A35" t="s">
        <v>21</v>
      </c>
      <c r="B35" t="s">
        <v>22</v>
      </c>
      <c r="C35" t="s">
        <v>77</v>
      </c>
      <c r="D35" t="s">
        <v>25</v>
      </c>
      <c r="E35" t="s">
        <v>32</v>
      </c>
      <c r="F35">
        <v>26.5</v>
      </c>
      <c r="G35">
        <v>25.7</v>
      </c>
      <c r="H35">
        <v>27.2</v>
      </c>
      <c r="I35" s="1">
        <v>7146</v>
      </c>
      <c r="J35">
        <v>26991</v>
      </c>
      <c r="K35" t="s">
        <v>33</v>
      </c>
      <c r="L35" t="s">
        <v>195</v>
      </c>
      <c r="M35" t="s">
        <v>195</v>
      </c>
      <c r="N35">
        <v>20240000</v>
      </c>
      <c r="O35" t="s">
        <v>27</v>
      </c>
    </row>
    <row r="36" spans="1:15" x14ac:dyDescent="0.35">
      <c r="A36" t="s">
        <v>21</v>
      </c>
      <c r="B36" t="s">
        <v>22</v>
      </c>
      <c r="C36" t="s">
        <v>53</v>
      </c>
      <c r="D36" t="s">
        <v>25</v>
      </c>
      <c r="E36" t="s">
        <v>32</v>
      </c>
      <c r="F36">
        <v>26.2</v>
      </c>
      <c r="G36">
        <v>25.5</v>
      </c>
      <c r="H36">
        <v>27</v>
      </c>
      <c r="I36" s="1">
        <v>6346</v>
      </c>
      <c r="J36">
        <v>24191</v>
      </c>
      <c r="K36" t="s">
        <v>33</v>
      </c>
      <c r="L36" t="s">
        <v>195</v>
      </c>
      <c r="M36" t="s">
        <v>195</v>
      </c>
      <c r="N36">
        <v>20240000</v>
      </c>
      <c r="O36" t="s">
        <v>27</v>
      </c>
    </row>
    <row r="37" spans="1:15" x14ac:dyDescent="0.35">
      <c r="A37" t="s">
        <v>21</v>
      </c>
      <c r="B37" t="s">
        <v>22</v>
      </c>
      <c r="C37" t="s">
        <v>75</v>
      </c>
      <c r="D37" t="s">
        <v>25</v>
      </c>
      <c r="E37" t="s">
        <v>32</v>
      </c>
      <c r="F37">
        <v>26</v>
      </c>
      <c r="G37">
        <v>25.6</v>
      </c>
      <c r="H37">
        <v>26.4</v>
      </c>
      <c r="I37" s="1">
        <v>22965</v>
      </c>
      <c r="J37">
        <v>88221</v>
      </c>
      <c r="K37" t="s">
        <v>33</v>
      </c>
      <c r="L37" t="s">
        <v>195</v>
      </c>
      <c r="M37" t="s">
        <v>195</v>
      </c>
      <c r="N37">
        <v>20240000</v>
      </c>
      <c r="O37" t="s">
        <v>27</v>
      </c>
    </row>
    <row r="38" spans="1:15" x14ac:dyDescent="0.35">
      <c r="A38" t="s">
        <v>21</v>
      </c>
      <c r="B38" t="s">
        <v>22</v>
      </c>
      <c r="C38" t="s">
        <v>76</v>
      </c>
      <c r="D38" t="s">
        <v>25</v>
      </c>
      <c r="E38" t="s">
        <v>32</v>
      </c>
      <c r="F38">
        <v>25.7</v>
      </c>
      <c r="G38">
        <v>25.2</v>
      </c>
      <c r="H38">
        <v>26.2</v>
      </c>
      <c r="I38" s="1">
        <v>12822</v>
      </c>
      <c r="J38">
        <v>49906</v>
      </c>
      <c r="K38" t="s">
        <v>33</v>
      </c>
      <c r="L38" t="s">
        <v>195</v>
      </c>
      <c r="M38" t="s">
        <v>195</v>
      </c>
      <c r="N38">
        <v>20240000</v>
      </c>
      <c r="O38" t="s">
        <v>27</v>
      </c>
    </row>
    <row r="39" spans="1:15" x14ac:dyDescent="0.35">
      <c r="A39" t="s">
        <v>21</v>
      </c>
      <c r="B39" t="s">
        <v>22</v>
      </c>
      <c r="C39" t="s">
        <v>61</v>
      </c>
      <c r="D39" t="s">
        <v>25</v>
      </c>
      <c r="E39" t="s">
        <v>32</v>
      </c>
      <c r="F39">
        <v>25.5</v>
      </c>
      <c r="G39">
        <v>24.8</v>
      </c>
      <c r="H39">
        <v>26.2</v>
      </c>
      <c r="I39" s="1">
        <v>7781</v>
      </c>
      <c r="J39">
        <v>30501</v>
      </c>
      <c r="K39" t="s">
        <v>33</v>
      </c>
      <c r="L39" t="s">
        <v>195</v>
      </c>
      <c r="M39" t="s">
        <v>195</v>
      </c>
      <c r="N39">
        <v>20240000</v>
      </c>
      <c r="O39" t="s">
        <v>27</v>
      </c>
    </row>
    <row r="40" spans="1:15" x14ac:dyDescent="0.35">
      <c r="A40" t="s">
        <v>21</v>
      </c>
      <c r="B40" t="s">
        <v>22</v>
      </c>
      <c r="C40" t="s">
        <v>70</v>
      </c>
      <c r="D40" t="s">
        <v>25</v>
      </c>
      <c r="E40" t="s">
        <v>32</v>
      </c>
      <c r="F40">
        <v>25.5</v>
      </c>
      <c r="G40">
        <v>25.1</v>
      </c>
      <c r="H40">
        <v>25.9</v>
      </c>
      <c r="I40" s="1">
        <v>18981</v>
      </c>
      <c r="J40">
        <v>74425</v>
      </c>
      <c r="K40" t="s">
        <v>33</v>
      </c>
      <c r="L40" t="s">
        <v>195</v>
      </c>
      <c r="M40" t="s">
        <v>195</v>
      </c>
      <c r="N40">
        <v>20240000</v>
      </c>
      <c r="O40" t="s">
        <v>27</v>
      </c>
    </row>
    <row r="41" spans="1:15" x14ac:dyDescent="0.35">
      <c r="A41" t="s">
        <v>21</v>
      </c>
      <c r="B41" t="s">
        <v>22</v>
      </c>
      <c r="C41" t="s">
        <v>100</v>
      </c>
      <c r="D41" t="s">
        <v>25</v>
      </c>
      <c r="E41" t="s">
        <v>32</v>
      </c>
      <c r="F41">
        <v>25.5</v>
      </c>
      <c r="G41">
        <v>24.9</v>
      </c>
      <c r="H41">
        <v>26.1</v>
      </c>
      <c r="I41" s="1">
        <v>10075</v>
      </c>
      <c r="J41">
        <v>39550</v>
      </c>
      <c r="K41" t="s">
        <v>33</v>
      </c>
      <c r="L41" t="s">
        <v>195</v>
      </c>
      <c r="M41" t="s">
        <v>195</v>
      </c>
      <c r="N41">
        <v>20240000</v>
      </c>
      <c r="O41" t="s">
        <v>27</v>
      </c>
    </row>
    <row r="42" spans="1:15" x14ac:dyDescent="0.35">
      <c r="A42" t="s">
        <v>21</v>
      </c>
      <c r="B42" t="s">
        <v>22</v>
      </c>
      <c r="C42" t="s">
        <v>96</v>
      </c>
      <c r="D42" t="s">
        <v>25</v>
      </c>
      <c r="E42" t="s">
        <v>32</v>
      </c>
      <c r="F42">
        <v>25.4</v>
      </c>
      <c r="G42">
        <v>24.9</v>
      </c>
      <c r="H42">
        <v>25.9</v>
      </c>
      <c r="I42" s="1">
        <v>14460</v>
      </c>
      <c r="J42">
        <v>57023</v>
      </c>
      <c r="K42" t="s">
        <v>33</v>
      </c>
      <c r="L42" t="s">
        <v>195</v>
      </c>
      <c r="M42" t="s">
        <v>195</v>
      </c>
      <c r="N42">
        <v>20240000</v>
      </c>
      <c r="O42" t="s">
        <v>27</v>
      </c>
    </row>
    <row r="43" spans="1:15" x14ac:dyDescent="0.35">
      <c r="A43" t="s">
        <v>21</v>
      </c>
      <c r="B43" t="s">
        <v>22</v>
      </c>
      <c r="C43" t="s">
        <v>57</v>
      </c>
      <c r="D43" t="s">
        <v>25</v>
      </c>
      <c r="E43" t="s">
        <v>32</v>
      </c>
      <c r="F43">
        <v>25</v>
      </c>
      <c r="G43">
        <v>24.7</v>
      </c>
      <c r="H43">
        <v>25.3</v>
      </c>
      <c r="I43" s="1">
        <v>39240</v>
      </c>
      <c r="J43">
        <v>157114</v>
      </c>
      <c r="K43" t="s">
        <v>33</v>
      </c>
      <c r="L43" t="s">
        <v>195</v>
      </c>
      <c r="M43" t="s">
        <v>195</v>
      </c>
      <c r="N43">
        <v>20240000</v>
      </c>
      <c r="O43" t="s">
        <v>27</v>
      </c>
    </row>
    <row r="44" spans="1:15" x14ac:dyDescent="0.35">
      <c r="A44" t="s">
        <v>21</v>
      </c>
      <c r="B44" t="s">
        <v>22</v>
      </c>
      <c r="C44" t="s">
        <v>89</v>
      </c>
      <c r="D44" t="s">
        <v>25</v>
      </c>
      <c r="E44" t="s">
        <v>32</v>
      </c>
      <c r="F44">
        <v>24.9</v>
      </c>
      <c r="G44">
        <v>24.6</v>
      </c>
      <c r="H44">
        <v>25.1</v>
      </c>
      <c r="I44" s="1">
        <v>57320</v>
      </c>
      <c r="J44">
        <v>230529</v>
      </c>
      <c r="K44" t="s">
        <v>33</v>
      </c>
      <c r="L44" t="s">
        <v>195</v>
      </c>
      <c r="M44" t="s">
        <v>195</v>
      </c>
      <c r="N44">
        <v>20240000</v>
      </c>
      <c r="O44" t="s">
        <v>27</v>
      </c>
    </row>
    <row r="45" spans="1:15" x14ac:dyDescent="0.35">
      <c r="A45" t="s">
        <v>21</v>
      </c>
      <c r="B45" t="s">
        <v>22</v>
      </c>
      <c r="C45" t="s">
        <v>137</v>
      </c>
      <c r="D45" t="s">
        <v>25</v>
      </c>
      <c r="E45" t="s">
        <v>32</v>
      </c>
      <c r="F45">
        <v>24.8</v>
      </c>
      <c r="G45">
        <v>24.2</v>
      </c>
      <c r="H45">
        <v>25.4</v>
      </c>
      <c r="I45" s="1">
        <v>9714</v>
      </c>
      <c r="J45">
        <v>39173</v>
      </c>
      <c r="K45" t="s">
        <v>33</v>
      </c>
      <c r="L45" t="s">
        <v>195</v>
      </c>
      <c r="M45" t="s">
        <v>195</v>
      </c>
      <c r="N45">
        <v>20240000</v>
      </c>
      <c r="O45" t="s">
        <v>27</v>
      </c>
    </row>
    <row r="46" spans="1:15" x14ac:dyDescent="0.35">
      <c r="A46" t="s">
        <v>21</v>
      </c>
      <c r="B46" t="s">
        <v>22</v>
      </c>
      <c r="C46" t="s">
        <v>74</v>
      </c>
      <c r="D46" t="s">
        <v>25</v>
      </c>
      <c r="E46" t="s">
        <v>32</v>
      </c>
      <c r="F46">
        <v>24.8</v>
      </c>
      <c r="G46">
        <v>24</v>
      </c>
      <c r="H46">
        <v>25.6</v>
      </c>
      <c r="I46" s="1">
        <v>4968</v>
      </c>
      <c r="J46">
        <v>20040</v>
      </c>
      <c r="K46" t="s">
        <v>33</v>
      </c>
      <c r="L46" t="s">
        <v>195</v>
      </c>
      <c r="M46" t="s">
        <v>195</v>
      </c>
      <c r="N46">
        <v>20240000</v>
      </c>
      <c r="O46" t="s">
        <v>27</v>
      </c>
    </row>
    <row r="47" spans="1:15" x14ac:dyDescent="0.35">
      <c r="A47" t="s">
        <v>21</v>
      </c>
      <c r="B47" t="s">
        <v>22</v>
      </c>
      <c r="C47" t="s">
        <v>106</v>
      </c>
      <c r="D47" t="s">
        <v>25</v>
      </c>
      <c r="E47" t="s">
        <v>32</v>
      </c>
      <c r="F47">
        <v>24.5</v>
      </c>
      <c r="G47">
        <v>23.9</v>
      </c>
      <c r="H47">
        <v>25.2</v>
      </c>
      <c r="I47" s="1">
        <v>7911</v>
      </c>
      <c r="J47">
        <v>32267</v>
      </c>
      <c r="K47" t="s">
        <v>33</v>
      </c>
      <c r="L47" t="s">
        <v>195</v>
      </c>
      <c r="M47" t="s">
        <v>195</v>
      </c>
      <c r="N47">
        <v>20240000</v>
      </c>
      <c r="O47" t="s">
        <v>27</v>
      </c>
    </row>
    <row r="48" spans="1:15" x14ac:dyDescent="0.35">
      <c r="A48" t="s">
        <v>21</v>
      </c>
      <c r="B48" t="s">
        <v>22</v>
      </c>
      <c r="C48" t="s">
        <v>81</v>
      </c>
      <c r="D48" t="s">
        <v>25</v>
      </c>
      <c r="E48" t="s">
        <v>32</v>
      </c>
      <c r="F48">
        <v>24</v>
      </c>
      <c r="G48">
        <v>23.4</v>
      </c>
      <c r="H48">
        <v>24.7</v>
      </c>
      <c r="I48" s="1">
        <v>8553</v>
      </c>
      <c r="J48">
        <v>35592</v>
      </c>
      <c r="K48" t="s">
        <v>33</v>
      </c>
      <c r="L48" t="s">
        <v>195</v>
      </c>
      <c r="M48" t="s">
        <v>195</v>
      </c>
      <c r="N48">
        <v>20240000</v>
      </c>
      <c r="O48" t="s">
        <v>27</v>
      </c>
    </row>
    <row r="49" spans="1:15" x14ac:dyDescent="0.35">
      <c r="A49" t="s">
        <v>21</v>
      </c>
      <c r="B49" t="s">
        <v>22</v>
      </c>
      <c r="C49" t="s">
        <v>127</v>
      </c>
      <c r="D49" t="s">
        <v>25</v>
      </c>
      <c r="E49" t="s">
        <v>32</v>
      </c>
      <c r="F49">
        <v>23.5</v>
      </c>
      <c r="G49">
        <v>22.7</v>
      </c>
      <c r="H49">
        <v>24.3</v>
      </c>
      <c r="I49" s="1">
        <v>4796</v>
      </c>
      <c r="J49">
        <v>20408</v>
      </c>
      <c r="K49" t="s">
        <v>33</v>
      </c>
      <c r="L49" t="s">
        <v>195</v>
      </c>
      <c r="M49" t="s">
        <v>195</v>
      </c>
      <c r="N49">
        <v>20240000</v>
      </c>
      <c r="O49" t="s">
        <v>27</v>
      </c>
    </row>
    <row r="50" spans="1:15" x14ac:dyDescent="0.35">
      <c r="A50" t="s">
        <v>21</v>
      </c>
      <c r="B50" t="s">
        <v>22</v>
      </c>
      <c r="C50" t="s">
        <v>56</v>
      </c>
      <c r="D50" t="s">
        <v>25</v>
      </c>
      <c r="E50" t="s">
        <v>32</v>
      </c>
      <c r="F50">
        <v>23</v>
      </c>
      <c r="G50">
        <v>22.6</v>
      </c>
      <c r="H50">
        <v>23.5</v>
      </c>
      <c r="I50" s="1">
        <v>15828</v>
      </c>
      <c r="J50">
        <v>68791</v>
      </c>
      <c r="K50" t="s">
        <v>33</v>
      </c>
      <c r="L50" t="s">
        <v>195</v>
      </c>
      <c r="M50" t="s">
        <v>195</v>
      </c>
      <c r="N50">
        <v>20240000</v>
      </c>
      <c r="O50" t="s">
        <v>27</v>
      </c>
    </row>
    <row r="51" spans="1:15" x14ac:dyDescent="0.35">
      <c r="A51" t="s">
        <v>21</v>
      </c>
      <c r="B51" t="s">
        <v>22</v>
      </c>
      <c r="C51" t="s">
        <v>158</v>
      </c>
      <c r="D51" t="s">
        <v>25</v>
      </c>
      <c r="E51" t="s">
        <v>32</v>
      </c>
      <c r="F51">
        <v>23</v>
      </c>
      <c r="G51">
        <v>22.6</v>
      </c>
      <c r="H51">
        <v>23.4</v>
      </c>
      <c r="I51" s="1">
        <v>17282</v>
      </c>
      <c r="J51">
        <v>75145</v>
      </c>
      <c r="K51" t="s">
        <v>33</v>
      </c>
      <c r="L51" t="s">
        <v>195</v>
      </c>
      <c r="M51" t="s">
        <v>195</v>
      </c>
      <c r="N51">
        <v>20240000</v>
      </c>
      <c r="O51" t="s">
        <v>27</v>
      </c>
    </row>
    <row r="52" spans="1:15" x14ac:dyDescent="0.35">
      <c r="A52" t="s">
        <v>21</v>
      </c>
      <c r="B52" t="s">
        <v>22</v>
      </c>
      <c r="C52" t="s">
        <v>102</v>
      </c>
      <c r="D52" t="s">
        <v>25</v>
      </c>
      <c r="E52" t="s">
        <v>32</v>
      </c>
      <c r="F52">
        <v>23</v>
      </c>
      <c r="G52">
        <v>22.3</v>
      </c>
      <c r="H52">
        <v>23.8</v>
      </c>
      <c r="I52" s="1">
        <v>5609</v>
      </c>
      <c r="J52">
        <v>24353</v>
      </c>
      <c r="K52" t="s">
        <v>33</v>
      </c>
      <c r="L52" t="s">
        <v>195</v>
      </c>
      <c r="M52" t="s">
        <v>195</v>
      </c>
      <c r="N52">
        <v>20240000</v>
      </c>
      <c r="O52" t="s">
        <v>27</v>
      </c>
    </row>
    <row r="53" spans="1:15" x14ac:dyDescent="0.35">
      <c r="A53" t="s">
        <v>21</v>
      </c>
      <c r="B53" t="s">
        <v>22</v>
      </c>
      <c r="C53" t="s">
        <v>181</v>
      </c>
      <c r="D53" t="s">
        <v>25</v>
      </c>
      <c r="E53" t="s">
        <v>32</v>
      </c>
      <c r="F53">
        <v>23</v>
      </c>
      <c r="G53">
        <v>22.5</v>
      </c>
      <c r="H53">
        <v>23.4</v>
      </c>
      <c r="I53" s="1">
        <v>13528</v>
      </c>
      <c r="J53">
        <v>58929</v>
      </c>
      <c r="K53" t="s">
        <v>33</v>
      </c>
      <c r="L53" t="s">
        <v>195</v>
      </c>
      <c r="M53" t="s">
        <v>195</v>
      </c>
      <c r="N53">
        <v>20240000</v>
      </c>
      <c r="O53" t="s">
        <v>27</v>
      </c>
    </row>
    <row r="54" spans="1:15" x14ac:dyDescent="0.35">
      <c r="A54" t="s">
        <v>21</v>
      </c>
      <c r="B54" t="s">
        <v>22</v>
      </c>
      <c r="C54" t="s">
        <v>52</v>
      </c>
      <c r="D54" t="s">
        <v>25</v>
      </c>
      <c r="E54" t="s">
        <v>32</v>
      </c>
      <c r="F54">
        <v>22.3</v>
      </c>
      <c r="G54">
        <v>21.7</v>
      </c>
      <c r="H54">
        <v>22.8</v>
      </c>
      <c r="I54" s="1">
        <v>8824</v>
      </c>
      <c r="J54">
        <v>39649</v>
      </c>
      <c r="K54" t="s">
        <v>33</v>
      </c>
      <c r="L54" t="s">
        <v>195</v>
      </c>
      <c r="M54" t="s">
        <v>195</v>
      </c>
      <c r="N54">
        <v>20240000</v>
      </c>
      <c r="O54" t="s">
        <v>27</v>
      </c>
    </row>
    <row r="55" spans="1:15" x14ac:dyDescent="0.35">
      <c r="A55" t="s">
        <v>21</v>
      </c>
      <c r="B55" t="s">
        <v>22</v>
      </c>
      <c r="C55" t="s">
        <v>140</v>
      </c>
      <c r="D55" t="s">
        <v>25</v>
      </c>
      <c r="E55" t="s">
        <v>32</v>
      </c>
      <c r="F55">
        <v>22</v>
      </c>
      <c r="G55">
        <v>21.7</v>
      </c>
      <c r="H55">
        <v>22.3</v>
      </c>
      <c r="I55" s="1">
        <v>28714</v>
      </c>
      <c r="J55">
        <v>130421</v>
      </c>
      <c r="K55" t="s">
        <v>33</v>
      </c>
      <c r="L55" t="s">
        <v>195</v>
      </c>
      <c r="M55" t="s">
        <v>195</v>
      </c>
      <c r="N55">
        <v>20240000</v>
      </c>
      <c r="O55" t="s">
        <v>27</v>
      </c>
    </row>
    <row r="56" spans="1:15" x14ac:dyDescent="0.35">
      <c r="A56" t="s">
        <v>21</v>
      </c>
      <c r="B56" t="s">
        <v>22</v>
      </c>
      <c r="C56" t="s">
        <v>125</v>
      </c>
      <c r="D56" t="s">
        <v>25</v>
      </c>
      <c r="E56" t="s">
        <v>32</v>
      </c>
      <c r="F56">
        <v>21.8</v>
      </c>
      <c r="G56">
        <v>21.3</v>
      </c>
      <c r="H56">
        <v>22.3</v>
      </c>
      <c r="I56" s="1">
        <v>9883</v>
      </c>
      <c r="J56">
        <v>45324</v>
      </c>
      <c r="K56" t="s">
        <v>33</v>
      </c>
      <c r="L56" t="s">
        <v>195</v>
      </c>
      <c r="M56" t="s">
        <v>195</v>
      </c>
      <c r="N56">
        <v>20240000</v>
      </c>
      <c r="O56" t="s">
        <v>27</v>
      </c>
    </row>
    <row r="57" spans="1:15" x14ac:dyDescent="0.35">
      <c r="A57" t="s">
        <v>21</v>
      </c>
      <c r="B57" t="s">
        <v>22</v>
      </c>
      <c r="C57" t="s">
        <v>103</v>
      </c>
      <c r="D57" t="s">
        <v>25</v>
      </c>
      <c r="E57" t="s">
        <v>32</v>
      </c>
      <c r="F57">
        <v>21.5</v>
      </c>
      <c r="G57">
        <v>20.9</v>
      </c>
      <c r="H57">
        <v>22.1</v>
      </c>
      <c r="I57" s="1">
        <v>7141</v>
      </c>
      <c r="J57">
        <v>33206</v>
      </c>
      <c r="K57" t="s">
        <v>33</v>
      </c>
      <c r="L57" t="s">
        <v>195</v>
      </c>
      <c r="M57" t="s">
        <v>195</v>
      </c>
      <c r="N57">
        <v>20240000</v>
      </c>
      <c r="O57" t="s">
        <v>27</v>
      </c>
    </row>
    <row r="58" spans="1:15" x14ac:dyDescent="0.35">
      <c r="A58" t="s">
        <v>21</v>
      </c>
      <c r="B58" t="s">
        <v>22</v>
      </c>
      <c r="C58" t="s">
        <v>92</v>
      </c>
      <c r="D58" t="s">
        <v>25</v>
      </c>
      <c r="E58" t="s">
        <v>32</v>
      </c>
      <c r="F58">
        <v>21.4</v>
      </c>
      <c r="G58">
        <v>21</v>
      </c>
      <c r="H58">
        <v>21.9</v>
      </c>
      <c r="I58" s="1">
        <v>13638</v>
      </c>
      <c r="J58">
        <v>63639</v>
      </c>
      <c r="K58" t="s">
        <v>33</v>
      </c>
      <c r="L58" t="s">
        <v>195</v>
      </c>
      <c r="M58" t="s">
        <v>195</v>
      </c>
      <c r="N58">
        <v>20240000</v>
      </c>
      <c r="O58" t="s">
        <v>27</v>
      </c>
    </row>
    <row r="59" spans="1:15" x14ac:dyDescent="0.35">
      <c r="A59" t="s">
        <v>21</v>
      </c>
      <c r="B59" t="s">
        <v>22</v>
      </c>
      <c r="C59" t="s">
        <v>124</v>
      </c>
      <c r="D59" t="s">
        <v>25</v>
      </c>
      <c r="E59" t="s">
        <v>32</v>
      </c>
      <c r="F59">
        <v>21.4</v>
      </c>
      <c r="G59">
        <v>21</v>
      </c>
      <c r="H59">
        <v>21.8</v>
      </c>
      <c r="I59" s="1">
        <v>19876</v>
      </c>
      <c r="J59">
        <v>92891</v>
      </c>
      <c r="K59" t="s">
        <v>33</v>
      </c>
      <c r="L59" t="s">
        <v>195</v>
      </c>
      <c r="M59" t="s">
        <v>195</v>
      </c>
      <c r="N59">
        <v>20240000</v>
      </c>
      <c r="O59" t="s">
        <v>27</v>
      </c>
    </row>
    <row r="60" spans="1:15" x14ac:dyDescent="0.35">
      <c r="A60" t="s">
        <v>21</v>
      </c>
      <c r="B60" t="s">
        <v>22</v>
      </c>
      <c r="C60" t="s">
        <v>171</v>
      </c>
      <c r="D60" t="s">
        <v>25</v>
      </c>
      <c r="E60" t="s">
        <v>32</v>
      </c>
      <c r="F60">
        <v>21.2</v>
      </c>
      <c r="G60">
        <v>20.7</v>
      </c>
      <c r="H60">
        <v>21.7</v>
      </c>
      <c r="I60" s="1">
        <v>10216</v>
      </c>
      <c r="J60">
        <v>48182</v>
      </c>
      <c r="K60" t="s">
        <v>33</v>
      </c>
      <c r="L60" t="s">
        <v>195</v>
      </c>
      <c r="M60" t="s">
        <v>195</v>
      </c>
      <c r="N60">
        <v>20240000</v>
      </c>
      <c r="O60" t="s">
        <v>27</v>
      </c>
    </row>
    <row r="61" spans="1:15" x14ac:dyDescent="0.35">
      <c r="A61" t="s">
        <v>21</v>
      </c>
      <c r="B61" t="s">
        <v>22</v>
      </c>
      <c r="C61" t="s">
        <v>78</v>
      </c>
      <c r="D61" t="s">
        <v>25</v>
      </c>
      <c r="E61" t="s">
        <v>32</v>
      </c>
      <c r="F61">
        <v>21.1</v>
      </c>
      <c r="G61">
        <v>20.7</v>
      </c>
      <c r="H61">
        <v>21.6</v>
      </c>
      <c r="I61" s="1">
        <v>10972</v>
      </c>
      <c r="J61">
        <v>51894</v>
      </c>
      <c r="K61" t="s">
        <v>33</v>
      </c>
      <c r="L61" t="s">
        <v>195</v>
      </c>
      <c r="M61" t="s">
        <v>195</v>
      </c>
      <c r="N61">
        <v>20240000</v>
      </c>
      <c r="O61" t="s">
        <v>27</v>
      </c>
    </row>
    <row r="62" spans="1:15" x14ac:dyDescent="0.35">
      <c r="A62" t="s">
        <v>21</v>
      </c>
      <c r="B62" t="s">
        <v>22</v>
      </c>
      <c r="C62" t="s">
        <v>120</v>
      </c>
      <c r="D62" t="s">
        <v>25</v>
      </c>
      <c r="E62" t="s">
        <v>32</v>
      </c>
      <c r="F62">
        <v>21</v>
      </c>
      <c r="G62">
        <v>20.2</v>
      </c>
      <c r="H62">
        <v>21.7</v>
      </c>
      <c r="I62" s="1">
        <v>4544</v>
      </c>
      <c r="J62">
        <v>21686</v>
      </c>
      <c r="K62" t="s">
        <v>33</v>
      </c>
      <c r="L62" t="s">
        <v>195</v>
      </c>
      <c r="M62" t="s">
        <v>195</v>
      </c>
      <c r="N62">
        <v>20240000</v>
      </c>
      <c r="O62" t="s">
        <v>27</v>
      </c>
    </row>
    <row r="63" spans="1:15" x14ac:dyDescent="0.35">
      <c r="A63" t="s">
        <v>21</v>
      </c>
      <c r="B63" t="s">
        <v>22</v>
      </c>
      <c r="C63" t="s">
        <v>126</v>
      </c>
      <c r="D63" t="s">
        <v>25</v>
      </c>
      <c r="E63" t="s">
        <v>32</v>
      </c>
      <c r="F63">
        <v>20.7</v>
      </c>
      <c r="G63">
        <v>20.100000000000001</v>
      </c>
      <c r="H63">
        <v>21.2</v>
      </c>
      <c r="I63" s="1">
        <v>7911</v>
      </c>
      <c r="J63">
        <v>38294</v>
      </c>
      <c r="K63" t="s">
        <v>33</v>
      </c>
      <c r="L63" t="s">
        <v>195</v>
      </c>
      <c r="M63" t="s">
        <v>195</v>
      </c>
      <c r="N63">
        <v>20240000</v>
      </c>
      <c r="O63" t="s">
        <v>27</v>
      </c>
    </row>
    <row r="64" spans="1:15" x14ac:dyDescent="0.35">
      <c r="A64" t="s">
        <v>21</v>
      </c>
      <c r="B64" t="s">
        <v>22</v>
      </c>
      <c r="C64" t="s">
        <v>121</v>
      </c>
      <c r="D64" t="s">
        <v>25</v>
      </c>
      <c r="E64" t="s">
        <v>32</v>
      </c>
      <c r="F64">
        <v>20.7</v>
      </c>
      <c r="G64">
        <v>20.100000000000001</v>
      </c>
      <c r="H64">
        <v>21.2</v>
      </c>
      <c r="I64" s="1">
        <v>9503</v>
      </c>
      <c r="J64">
        <v>46009</v>
      </c>
      <c r="K64" t="s">
        <v>33</v>
      </c>
      <c r="L64" t="s">
        <v>195</v>
      </c>
      <c r="M64" t="s">
        <v>195</v>
      </c>
      <c r="N64">
        <v>20240000</v>
      </c>
      <c r="O64" t="s">
        <v>27</v>
      </c>
    </row>
    <row r="65" spans="1:15" x14ac:dyDescent="0.35">
      <c r="A65" t="s">
        <v>21</v>
      </c>
      <c r="B65" t="s">
        <v>22</v>
      </c>
      <c r="C65" t="s">
        <v>34</v>
      </c>
      <c r="D65" t="s">
        <v>25</v>
      </c>
      <c r="E65" t="s">
        <v>32</v>
      </c>
      <c r="F65">
        <v>20</v>
      </c>
      <c r="G65">
        <v>19.5</v>
      </c>
      <c r="H65">
        <v>20.399999999999999</v>
      </c>
      <c r="I65" s="1">
        <v>11642</v>
      </c>
      <c r="J65">
        <v>58322</v>
      </c>
      <c r="K65" t="s">
        <v>33</v>
      </c>
      <c r="L65" t="s">
        <v>35</v>
      </c>
      <c r="M65" t="s">
        <v>35</v>
      </c>
      <c r="N65">
        <v>20240000</v>
      </c>
      <c r="O65" t="s">
        <v>27</v>
      </c>
    </row>
    <row r="66" spans="1:15" x14ac:dyDescent="0.35">
      <c r="A66" t="s">
        <v>21</v>
      </c>
      <c r="B66" t="s">
        <v>22</v>
      </c>
      <c r="C66" t="s">
        <v>104</v>
      </c>
      <c r="D66" t="s">
        <v>25</v>
      </c>
      <c r="E66" t="s">
        <v>32</v>
      </c>
      <c r="F66">
        <v>19.8</v>
      </c>
      <c r="G66">
        <v>19.3</v>
      </c>
      <c r="H66">
        <v>20.3</v>
      </c>
      <c r="I66" s="1">
        <v>9554</v>
      </c>
      <c r="J66">
        <v>48352</v>
      </c>
      <c r="K66" t="s">
        <v>33</v>
      </c>
      <c r="L66" t="s">
        <v>35</v>
      </c>
      <c r="M66" t="s">
        <v>35</v>
      </c>
      <c r="N66">
        <v>20240000</v>
      </c>
      <c r="O66" t="s">
        <v>27</v>
      </c>
    </row>
    <row r="67" spans="1:15" x14ac:dyDescent="0.35">
      <c r="A67" t="s">
        <v>21</v>
      </c>
      <c r="B67" t="s">
        <v>22</v>
      </c>
      <c r="C67" t="s">
        <v>136</v>
      </c>
      <c r="D67" t="s">
        <v>25</v>
      </c>
      <c r="E67" t="s">
        <v>32</v>
      </c>
      <c r="F67">
        <v>19.8</v>
      </c>
      <c r="G67">
        <v>19.5</v>
      </c>
      <c r="H67">
        <v>20.100000000000001</v>
      </c>
      <c r="I67" s="1">
        <v>30049</v>
      </c>
      <c r="J67">
        <v>151546</v>
      </c>
      <c r="K67" t="s">
        <v>33</v>
      </c>
      <c r="L67" t="s">
        <v>35</v>
      </c>
      <c r="M67" t="s">
        <v>35</v>
      </c>
      <c r="N67">
        <v>20240000</v>
      </c>
      <c r="O67" t="s">
        <v>27</v>
      </c>
    </row>
    <row r="68" spans="1:15" x14ac:dyDescent="0.35">
      <c r="A68" t="s">
        <v>21</v>
      </c>
      <c r="B68" t="s">
        <v>22</v>
      </c>
      <c r="C68" t="s">
        <v>139</v>
      </c>
      <c r="D68" t="s">
        <v>25</v>
      </c>
      <c r="E68" t="s">
        <v>32</v>
      </c>
      <c r="F68">
        <v>19.8</v>
      </c>
      <c r="G68">
        <v>19.100000000000001</v>
      </c>
      <c r="H68">
        <v>20.399999999999999</v>
      </c>
      <c r="I68" s="1">
        <v>5995</v>
      </c>
      <c r="J68">
        <v>30337</v>
      </c>
      <c r="K68" t="s">
        <v>33</v>
      </c>
      <c r="L68" t="s">
        <v>35</v>
      </c>
      <c r="M68" t="s">
        <v>35</v>
      </c>
      <c r="N68">
        <v>20240000</v>
      </c>
      <c r="O68" t="s">
        <v>27</v>
      </c>
    </row>
    <row r="69" spans="1:15" x14ac:dyDescent="0.35">
      <c r="A69" t="s">
        <v>21</v>
      </c>
      <c r="B69" t="s">
        <v>22</v>
      </c>
      <c r="C69" t="s">
        <v>143</v>
      </c>
      <c r="D69" t="s">
        <v>25</v>
      </c>
      <c r="E69" t="s">
        <v>32</v>
      </c>
      <c r="F69">
        <v>19.7</v>
      </c>
      <c r="G69">
        <v>19.3</v>
      </c>
      <c r="H69">
        <v>20.100000000000001</v>
      </c>
      <c r="I69" s="1">
        <v>16233</v>
      </c>
      <c r="J69">
        <v>82335</v>
      </c>
      <c r="K69" t="s">
        <v>33</v>
      </c>
      <c r="L69" t="s">
        <v>35</v>
      </c>
      <c r="M69" t="s">
        <v>35</v>
      </c>
      <c r="N69">
        <v>20240000</v>
      </c>
      <c r="O69" t="s">
        <v>27</v>
      </c>
    </row>
    <row r="70" spans="1:15" x14ac:dyDescent="0.35">
      <c r="A70" t="s">
        <v>21</v>
      </c>
      <c r="B70" t="s">
        <v>22</v>
      </c>
      <c r="C70" t="s">
        <v>37</v>
      </c>
      <c r="D70" t="s">
        <v>25</v>
      </c>
      <c r="E70" t="s">
        <v>32</v>
      </c>
      <c r="F70">
        <v>19.5</v>
      </c>
      <c r="G70">
        <v>19.2</v>
      </c>
      <c r="H70">
        <v>19.8</v>
      </c>
      <c r="I70" s="1">
        <v>29676</v>
      </c>
      <c r="J70">
        <v>152077</v>
      </c>
      <c r="K70" t="s">
        <v>33</v>
      </c>
      <c r="L70" t="s">
        <v>35</v>
      </c>
      <c r="M70" t="s">
        <v>35</v>
      </c>
      <c r="N70">
        <v>20240000</v>
      </c>
      <c r="O70" t="s">
        <v>27</v>
      </c>
    </row>
    <row r="71" spans="1:15" x14ac:dyDescent="0.35">
      <c r="A71" t="s">
        <v>21</v>
      </c>
      <c r="B71" t="s">
        <v>22</v>
      </c>
      <c r="C71" t="s">
        <v>164</v>
      </c>
      <c r="D71" t="s">
        <v>25</v>
      </c>
      <c r="E71" t="s">
        <v>32</v>
      </c>
      <c r="F71">
        <v>19.399999999999999</v>
      </c>
      <c r="G71">
        <v>18.8</v>
      </c>
      <c r="H71">
        <v>20</v>
      </c>
      <c r="I71" s="1">
        <v>6144</v>
      </c>
      <c r="J71">
        <v>31683</v>
      </c>
      <c r="K71" t="s">
        <v>33</v>
      </c>
      <c r="L71" t="s">
        <v>35</v>
      </c>
      <c r="M71" t="s">
        <v>35</v>
      </c>
      <c r="N71">
        <v>20240000</v>
      </c>
      <c r="O71" t="s">
        <v>27</v>
      </c>
    </row>
    <row r="72" spans="1:15" x14ac:dyDescent="0.35">
      <c r="A72" t="s">
        <v>21</v>
      </c>
      <c r="B72" t="s">
        <v>22</v>
      </c>
      <c r="C72" t="s">
        <v>109</v>
      </c>
      <c r="D72" t="s">
        <v>25</v>
      </c>
      <c r="E72" t="s">
        <v>32</v>
      </c>
      <c r="F72">
        <v>19.3</v>
      </c>
      <c r="G72">
        <v>18.7</v>
      </c>
      <c r="H72">
        <v>19.8</v>
      </c>
      <c r="I72" s="1">
        <v>7998</v>
      </c>
      <c r="J72">
        <v>41506</v>
      </c>
      <c r="K72" t="s">
        <v>33</v>
      </c>
      <c r="L72" t="s">
        <v>35</v>
      </c>
      <c r="M72" t="s">
        <v>35</v>
      </c>
      <c r="N72">
        <v>20240000</v>
      </c>
      <c r="O72" t="s">
        <v>27</v>
      </c>
    </row>
    <row r="73" spans="1:15" x14ac:dyDescent="0.35">
      <c r="A73" t="s">
        <v>21</v>
      </c>
      <c r="B73" t="s">
        <v>22</v>
      </c>
      <c r="C73" t="s">
        <v>79</v>
      </c>
      <c r="D73" t="s">
        <v>25</v>
      </c>
      <c r="E73" t="s">
        <v>32</v>
      </c>
      <c r="F73">
        <v>19.2</v>
      </c>
      <c r="G73">
        <v>18.600000000000001</v>
      </c>
      <c r="H73">
        <v>19.7</v>
      </c>
      <c r="I73" s="1">
        <v>7155</v>
      </c>
      <c r="J73">
        <v>37332</v>
      </c>
      <c r="K73" t="s">
        <v>33</v>
      </c>
      <c r="L73" t="s">
        <v>39</v>
      </c>
      <c r="M73" t="s">
        <v>39</v>
      </c>
      <c r="N73">
        <v>20240000</v>
      </c>
      <c r="O73" t="s">
        <v>27</v>
      </c>
    </row>
    <row r="74" spans="1:15" x14ac:dyDescent="0.35">
      <c r="A74" t="s">
        <v>21</v>
      </c>
      <c r="B74" t="s">
        <v>22</v>
      </c>
      <c r="C74" t="s">
        <v>38</v>
      </c>
      <c r="D74" t="s">
        <v>25</v>
      </c>
      <c r="E74" t="s">
        <v>32</v>
      </c>
      <c r="F74">
        <v>19.100000000000001</v>
      </c>
      <c r="G74">
        <v>18.8</v>
      </c>
      <c r="H74">
        <v>19.399999999999999</v>
      </c>
      <c r="I74" s="1">
        <v>29521</v>
      </c>
      <c r="J74">
        <v>154485</v>
      </c>
      <c r="K74" t="s">
        <v>33</v>
      </c>
      <c r="L74" t="s">
        <v>39</v>
      </c>
      <c r="M74" t="s">
        <v>39</v>
      </c>
      <c r="N74">
        <v>20240000</v>
      </c>
      <c r="O74" t="s">
        <v>27</v>
      </c>
    </row>
    <row r="75" spans="1:15" x14ac:dyDescent="0.35">
      <c r="A75" t="s">
        <v>21</v>
      </c>
      <c r="B75" t="s">
        <v>22</v>
      </c>
      <c r="C75" t="s">
        <v>132</v>
      </c>
      <c r="D75" t="s">
        <v>25</v>
      </c>
      <c r="E75" t="s">
        <v>32</v>
      </c>
      <c r="F75">
        <v>19.100000000000001</v>
      </c>
      <c r="G75">
        <v>18.600000000000001</v>
      </c>
      <c r="H75">
        <v>19.7</v>
      </c>
      <c r="I75" s="1">
        <v>8864</v>
      </c>
      <c r="J75">
        <v>46292</v>
      </c>
      <c r="K75" t="s">
        <v>33</v>
      </c>
      <c r="L75" t="s">
        <v>39</v>
      </c>
      <c r="M75" t="s">
        <v>39</v>
      </c>
      <c r="N75">
        <v>20240000</v>
      </c>
      <c r="O75" t="s">
        <v>27</v>
      </c>
    </row>
    <row r="76" spans="1:15" x14ac:dyDescent="0.35">
      <c r="A76" t="s">
        <v>21</v>
      </c>
      <c r="B76" t="s">
        <v>22</v>
      </c>
      <c r="C76" t="s">
        <v>116</v>
      </c>
      <c r="D76" t="s">
        <v>25</v>
      </c>
      <c r="E76" t="s">
        <v>32</v>
      </c>
      <c r="F76">
        <v>18.899999999999999</v>
      </c>
      <c r="G76">
        <v>18.5</v>
      </c>
      <c r="H76">
        <v>19.3</v>
      </c>
      <c r="I76" s="1">
        <v>13875</v>
      </c>
      <c r="J76">
        <v>73300</v>
      </c>
      <c r="K76" t="s">
        <v>33</v>
      </c>
      <c r="L76" t="s">
        <v>39</v>
      </c>
      <c r="M76" t="s">
        <v>39</v>
      </c>
      <c r="N76">
        <v>20240000</v>
      </c>
      <c r="O76" t="s">
        <v>27</v>
      </c>
    </row>
    <row r="77" spans="1:15" x14ac:dyDescent="0.35">
      <c r="A77" t="s">
        <v>21</v>
      </c>
      <c r="B77" t="s">
        <v>22</v>
      </c>
      <c r="C77" t="s">
        <v>138</v>
      </c>
      <c r="D77" t="s">
        <v>25</v>
      </c>
      <c r="E77" t="s">
        <v>32</v>
      </c>
      <c r="F77">
        <v>18.8</v>
      </c>
      <c r="G77">
        <v>18.399999999999999</v>
      </c>
      <c r="H77">
        <v>19.3</v>
      </c>
      <c r="I77" s="1">
        <v>9847</v>
      </c>
      <c r="J77">
        <v>52320</v>
      </c>
      <c r="K77" t="s">
        <v>33</v>
      </c>
      <c r="L77" t="s">
        <v>39</v>
      </c>
      <c r="M77" t="s">
        <v>39</v>
      </c>
      <c r="N77">
        <v>20240000</v>
      </c>
      <c r="O77" t="s">
        <v>27</v>
      </c>
    </row>
    <row r="78" spans="1:15" x14ac:dyDescent="0.35">
      <c r="A78" t="s">
        <v>21</v>
      </c>
      <c r="B78" t="s">
        <v>22</v>
      </c>
      <c r="C78" t="s">
        <v>72</v>
      </c>
      <c r="D78" t="s">
        <v>25</v>
      </c>
      <c r="E78" t="s">
        <v>32</v>
      </c>
      <c r="F78">
        <v>18.5</v>
      </c>
      <c r="G78">
        <v>18.3</v>
      </c>
      <c r="H78">
        <v>18.8</v>
      </c>
      <c r="I78" s="1">
        <v>25465</v>
      </c>
      <c r="J78">
        <v>137322</v>
      </c>
      <c r="K78" t="s">
        <v>33</v>
      </c>
      <c r="L78" t="s">
        <v>39</v>
      </c>
      <c r="M78" t="s">
        <v>39</v>
      </c>
      <c r="N78">
        <v>20240000</v>
      </c>
      <c r="O78" t="s">
        <v>27</v>
      </c>
    </row>
    <row r="79" spans="1:15" x14ac:dyDescent="0.35">
      <c r="A79" t="s">
        <v>21</v>
      </c>
      <c r="B79" t="s">
        <v>22</v>
      </c>
      <c r="C79" t="s">
        <v>178</v>
      </c>
      <c r="D79" t="s">
        <v>25</v>
      </c>
      <c r="E79" t="s">
        <v>32</v>
      </c>
      <c r="F79">
        <v>18.5</v>
      </c>
      <c r="G79">
        <v>18.100000000000001</v>
      </c>
      <c r="H79">
        <v>18.899999999999999</v>
      </c>
      <c r="I79" s="1">
        <v>12240</v>
      </c>
      <c r="J79">
        <v>66255</v>
      </c>
      <c r="K79" t="s">
        <v>33</v>
      </c>
      <c r="L79" t="s">
        <v>39</v>
      </c>
      <c r="M79" t="s">
        <v>39</v>
      </c>
      <c r="N79">
        <v>20240000</v>
      </c>
      <c r="O79" t="s">
        <v>27</v>
      </c>
    </row>
    <row r="80" spans="1:15" x14ac:dyDescent="0.35">
      <c r="A80" t="s">
        <v>21</v>
      </c>
      <c r="B80" t="s">
        <v>22</v>
      </c>
      <c r="C80" t="s">
        <v>146</v>
      </c>
      <c r="D80" t="s">
        <v>25</v>
      </c>
      <c r="E80" t="s">
        <v>32</v>
      </c>
      <c r="F80">
        <v>18.399999999999999</v>
      </c>
      <c r="G80">
        <v>17.899999999999999</v>
      </c>
      <c r="H80">
        <v>19</v>
      </c>
      <c r="I80" s="1">
        <v>7570</v>
      </c>
      <c r="J80">
        <v>41062</v>
      </c>
      <c r="K80" t="s">
        <v>33</v>
      </c>
      <c r="L80" t="s">
        <v>39</v>
      </c>
      <c r="M80" t="s">
        <v>39</v>
      </c>
      <c r="N80">
        <v>20240000</v>
      </c>
      <c r="O80" t="s">
        <v>27</v>
      </c>
    </row>
    <row r="81" spans="1:15" x14ac:dyDescent="0.35">
      <c r="A81" t="s">
        <v>21</v>
      </c>
      <c r="B81" t="s">
        <v>22</v>
      </c>
      <c r="C81" t="s">
        <v>155</v>
      </c>
      <c r="D81" t="s">
        <v>25</v>
      </c>
      <c r="E81" t="s">
        <v>32</v>
      </c>
      <c r="F81">
        <v>18.399999999999999</v>
      </c>
      <c r="G81">
        <v>17.899999999999999</v>
      </c>
      <c r="H81">
        <v>18.899999999999999</v>
      </c>
      <c r="I81" s="1">
        <v>9031</v>
      </c>
      <c r="J81">
        <v>49020</v>
      </c>
      <c r="K81" t="s">
        <v>33</v>
      </c>
      <c r="L81" t="s">
        <v>39</v>
      </c>
      <c r="M81" t="s">
        <v>39</v>
      </c>
      <c r="N81">
        <v>20240000</v>
      </c>
      <c r="O81" t="s">
        <v>27</v>
      </c>
    </row>
    <row r="82" spans="1:15" x14ac:dyDescent="0.35">
      <c r="A82" t="s">
        <v>21</v>
      </c>
      <c r="B82" t="s">
        <v>22</v>
      </c>
      <c r="C82" t="s">
        <v>152</v>
      </c>
      <c r="D82" t="s">
        <v>25</v>
      </c>
      <c r="E82" t="s">
        <v>32</v>
      </c>
      <c r="F82">
        <v>18.2</v>
      </c>
      <c r="G82">
        <v>17.7</v>
      </c>
      <c r="H82">
        <v>18.600000000000001</v>
      </c>
      <c r="I82" s="1">
        <v>10198</v>
      </c>
      <c r="J82">
        <v>56077</v>
      </c>
      <c r="K82" t="s">
        <v>33</v>
      </c>
      <c r="L82" t="s">
        <v>39</v>
      </c>
      <c r="M82" t="s">
        <v>39</v>
      </c>
      <c r="N82">
        <v>20240000</v>
      </c>
      <c r="O82" t="s">
        <v>27</v>
      </c>
    </row>
    <row r="83" spans="1:15" x14ac:dyDescent="0.35">
      <c r="A83" t="s">
        <v>21</v>
      </c>
      <c r="B83" t="s">
        <v>22</v>
      </c>
      <c r="C83" t="s">
        <v>40</v>
      </c>
      <c r="D83" t="s">
        <v>25</v>
      </c>
      <c r="E83" t="s">
        <v>32</v>
      </c>
      <c r="F83">
        <v>18</v>
      </c>
      <c r="G83">
        <v>17.7</v>
      </c>
      <c r="H83">
        <v>18.3</v>
      </c>
      <c r="I83" s="1">
        <v>18983</v>
      </c>
      <c r="J83">
        <v>105426</v>
      </c>
      <c r="K83" t="s">
        <v>33</v>
      </c>
      <c r="L83" t="s">
        <v>39</v>
      </c>
      <c r="M83" t="s">
        <v>39</v>
      </c>
      <c r="N83">
        <v>20240000</v>
      </c>
      <c r="O83" t="s">
        <v>27</v>
      </c>
    </row>
    <row r="84" spans="1:15" x14ac:dyDescent="0.35">
      <c r="A84" t="s">
        <v>21</v>
      </c>
      <c r="B84" t="s">
        <v>22</v>
      </c>
      <c r="C84" t="s">
        <v>184</v>
      </c>
      <c r="D84" t="s">
        <v>25</v>
      </c>
      <c r="E84" t="s">
        <v>32</v>
      </c>
      <c r="F84">
        <v>18</v>
      </c>
      <c r="G84">
        <v>17.8</v>
      </c>
      <c r="H84">
        <v>18.3</v>
      </c>
      <c r="I84" s="1">
        <v>24247</v>
      </c>
      <c r="J84">
        <v>134380</v>
      </c>
      <c r="K84" t="s">
        <v>33</v>
      </c>
      <c r="L84" t="s">
        <v>39</v>
      </c>
      <c r="M84" t="s">
        <v>39</v>
      </c>
      <c r="N84">
        <v>20240000</v>
      </c>
      <c r="O84" t="s">
        <v>27</v>
      </c>
    </row>
    <row r="85" spans="1:15" x14ac:dyDescent="0.35">
      <c r="A85" t="s">
        <v>21</v>
      </c>
      <c r="B85" t="s">
        <v>22</v>
      </c>
      <c r="C85" t="s">
        <v>64</v>
      </c>
      <c r="D85" t="s">
        <v>25</v>
      </c>
      <c r="E85" t="s">
        <v>32</v>
      </c>
      <c r="F85">
        <v>18</v>
      </c>
      <c r="G85">
        <v>17.600000000000001</v>
      </c>
      <c r="H85">
        <v>18.5</v>
      </c>
      <c r="I85" s="1">
        <v>9962</v>
      </c>
      <c r="J85">
        <v>55350</v>
      </c>
      <c r="K85" t="s">
        <v>33</v>
      </c>
      <c r="L85" t="s">
        <v>39</v>
      </c>
      <c r="M85" t="s">
        <v>39</v>
      </c>
      <c r="N85">
        <v>20240000</v>
      </c>
      <c r="O85" t="s">
        <v>27</v>
      </c>
    </row>
    <row r="86" spans="1:15" x14ac:dyDescent="0.35">
      <c r="A86" t="s">
        <v>21</v>
      </c>
      <c r="B86" t="s">
        <v>22</v>
      </c>
      <c r="C86" t="s">
        <v>119</v>
      </c>
      <c r="D86" t="s">
        <v>25</v>
      </c>
      <c r="E86" t="s">
        <v>32</v>
      </c>
      <c r="F86">
        <v>17.8</v>
      </c>
      <c r="G86">
        <v>17.2</v>
      </c>
      <c r="H86">
        <v>18.3</v>
      </c>
      <c r="I86" s="1">
        <v>7011</v>
      </c>
      <c r="J86">
        <v>39483</v>
      </c>
      <c r="K86" t="s">
        <v>33</v>
      </c>
      <c r="L86" t="s">
        <v>39</v>
      </c>
      <c r="M86" t="s">
        <v>39</v>
      </c>
      <c r="N86">
        <v>20240000</v>
      </c>
      <c r="O86" t="s">
        <v>27</v>
      </c>
    </row>
    <row r="87" spans="1:15" x14ac:dyDescent="0.35">
      <c r="A87" t="s">
        <v>21</v>
      </c>
      <c r="B87" t="s">
        <v>22</v>
      </c>
      <c r="C87" t="s">
        <v>147</v>
      </c>
      <c r="D87" t="s">
        <v>25</v>
      </c>
      <c r="E87" t="s">
        <v>32</v>
      </c>
      <c r="F87">
        <v>17.7</v>
      </c>
      <c r="G87">
        <v>17.100000000000001</v>
      </c>
      <c r="H87">
        <v>18.2</v>
      </c>
      <c r="I87" s="1">
        <v>6221</v>
      </c>
      <c r="J87">
        <v>35189</v>
      </c>
      <c r="K87" t="s">
        <v>33</v>
      </c>
      <c r="L87" t="s">
        <v>39</v>
      </c>
      <c r="M87" t="s">
        <v>39</v>
      </c>
      <c r="N87">
        <v>20240000</v>
      </c>
      <c r="O87" t="s">
        <v>27</v>
      </c>
    </row>
    <row r="88" spans="1:15" x14ac:dyDescent="0.35">
      <c r="A88" t="s">
        <v>21</v>
      </c>
      <c r="B88" t="s">
        <v>22</v>
      </c>
      <c r="C88" t="s">
        <v>82</v>
      </c>
      <c r="D88" t="s">
        <v>25</v>
      </c>
      <c r="E88" t="s">
        <v>32</v>
      </c>
      <c r="F88">
        <v>17.399999999999999</v>
      </c>
      <c r="G88">
        <v>17</v>
      </c>
      <c r="H88">
        <v>17.8</v>
      </c>
      <c r="I88" s="1">
        <v>10656</v>
      </c>
      <c r="J88">
        <v>61298</v>
      </c>
      <c r="K88" t="s">
        <v>33</v>
      </c>
      <c r="L88" t="s">
        <v>39</v>
      </c>
      <c r="M88" t="s">
        <v>39</v>
      </c>
      <c r="N88">
        <v>20240000</v>
      </c>
      <c r="O88" t="s">
        <v>27</v>
      </c>
    </row>
    <row r="89" spans="1:15" x14ac:dyDescent="0.35">
      <c r="A89" t="s">
        <v>21</v>
      </c>
      <c r="B89" t="s">
        <v>22</v>
      </c>
      <c r="C89" t="s">
        <v>141</v>
      </c>
      <c r="D89" t="s">
        <v>25</v>
      </c>
      <c r="E89" t="s">
        <v>32</v>
      </c>
      <c r="F89">
        <v>17.3</v>
      </c>
      <c r="G89">
        <v>17</v>
      </c>
      <c r="H89">
        <v>17.7</v>
      </c>
      <c r="I89" s="1">
        <v>17107</v>
      </c>
      <c r="J89">
        <v>98711</v>
      </c>
      <c r="K89" t="s">
        <v>33</v>
      </c>
      <c r="L89" t="s">
        <v>39</v>
      </c>
      <c r="M89" t="s">
        <v>39</v>
      </c>
      <c r="N89">
        <v>20240000</v>
      </c>
      <c r="O89" t="s">
        <v>27</v>
      </c>
    </row>
    <row r="90" spans="1:15" x14ac:dyDescent="0.35">
      <c r="A90" t="s">
        <v>21</v>
      </c>
      <c r="B90" t="s">
        <v>22</v>
      </c>
      <c r="C90" t="s">
        <v>172</v>
      </c>
      <c r="D90" t="s">
        <v>25</v>
      </c>
      <c r="E90" t="s">
        <v>32</v>
      </c>
      <c r="F90">
        <v>17.2</v>
      </c>
      <c r="G90">
        <v>16.8</v>
      </c>
      <c r="H90">
        <v>17.7</v>
      </c>
      <c r="I90" s="1">
        <v>10008</v>
      </c>
      <c r="J90">
        <v>58078</v>
      </c>
      <c r="K90" t="s">
        <v>33</v>
      </c>
      <c r="L90" t="s">
        <v>39</v>
      </c>
      <c r="M90" t="s">
        <v>39</v>
      </c>
      <c r="N90">
        <v>20240000</v>
      </c>
      <c r="O90" t="s">
        <v>27</v>
      </c>
    </row>
    <row r="91" spans="1:15" x14ac:dyDescent="0.35">
      <c r="A91" t="s">
        <v>21</v>
      </c>
      <c r="B91" t="s">
        <v>22</v>
      </c>
      <c r="C91" t="s">
        <v>161</v>
      </c>
      <c r="D91" t="s">
        <v>25</v>
      </c>
      <c r="E91" t="s">
        <v>32</v>
      </c>
      <c r="F91">
        <v>17</v>
      </c>
      <c r="G91">
        <v>16.5</v>
      </c>
      <c r="H91">
        <v>17.5</v>
      </c>
      <c r="I91" s="1">
        <v>7681</v>
      </c>
      <c r="J91">
        <v>45141</v>
      </c>
      <c r="K91" t="s">
        <v>33</v>
      </c>
      <c r="L91" t="s">
        <v>39</v>
      </c>
      <c r="M91" t="s">
        <v>39</v>
      </c>
      <c r="N91">
        <v>20240000</v>
      </c>
      <c r="O91" t="s">
        <v>27</v>
      </c>
    </row>
    <row r="92" spans="1:15" x14ac:dyDescent="0.35">
      <c r="A92" t="s">
        <v>21</v>
      </c>
      <c r="B92" t="s">
        <v>22</v>
      </c>
      <c r="C92" t="s">
        <v>115</v>
      </c>
      <c r="D92" t="s">
        <v>25</v>
      </c>
      <c r="E92" t="s">
        <v>32</v>
      </c>
      <c r="F92">
        <v>16.8</v>
      </c>
      <c r="G92">
        <v>16.399999999999999</v>
      </c>
      <c r="H92">
        <v>17.100000000000001</v>
      </c>
      <c r="I92" s="1">
        <v>14307</v>
      </c>
      <c r="J92">
        <v>85289</v>
      </c>
      <c r="K92" t="s">
        <v>33</v>
      </c>
      <c r="L92" t="s">
        <v>39</v>
      </c>
      <c r="M92" t="s">
        <v>39</v>
      </c>
      <c r="N92">
        <v>20240000</v>
      </c>
      <c r="O92" t="s">
        <v>27</v>
      </c>
    </row>
    <row r="93" spans="1:15" x14ac:dyDescent="0.35">
      <c r="A93" t="s">
        <v>21</v>
      </c>
      <c r="B93" t="s">
        <v>22</v>
      </c>
      <c r="C93" t="s">
        <v>123</v>
      </c>
      <c r="D93" t="s">
        <v>25</v>
      </c>
      <c r="E93" t="s">
        <v>32</v>
      </c>
      <c r="F93">
        <v>16.8</v>
      </c>
      <c r="G93">
        <v>16.5</v>
      </c>
      <c r="H93">
        <v>17.100000000000001</v>
      </c>
      <c r="I93" s="1">
        <v>21870</v>
      </c>
      <c r="J93">
        <v>130193</v>
      </c>
      <c r="K93" t="s">
        <v>33</v>
      </c>
      <c r="L93" t="s">
        <v>39</v>
      </c>
      <c r="M93" t="s">
        <v>39</v>
      </c>
      <c r="N93">
        <v>20240000</v>
      </c>
      <c r="O93" t="s">
        <v>27</v>
      </c>
    </row>
    <row r="94" spans="1:15" x14ac:dyDescent="0.35">
      <c r="A94" t="s">
        <v>21</v>
      </c>
      <c r="B94" t="s">
        <v>22</v>
      </c>
      <c r="C94" t="s">
        <v>41</v>
      </c>
      <c r="D94" t="s">
        <v>25</v>
      </c>
      <c r="E94" t="s">
        <v>32</v>
      </c>
      <c r="F94">
        <v>16.7</v>
      </c>
      <c r="G94">
        <v>16.3</v>
      </c>
      <c r="H94">
        <v>17</v>
      </c>
      <c r="I94" s="1">
        <v>15210</v>
      </c>
      <c r="J94">
        <v>91307</v>
      </c>
      <c r="K94" t="s">
        <v>33</v>
      </c>
      <c r="L94" t="s">
        <v>39</v>
      </c>
      <c r="M94" t="s">
        <v>39</v>
      </c>
      <c r="N94">
        <v>20240000</v>
      </c>
      <c r="O94" t="s">
        <v>27</v>
      </c>
    </row>
    <row r="95" spans="1:15" x14ac:dyDescent="0.35">
      <c r="A95" t="s">
        <v>21</v>
      </c>
      <c r="B95" t="s">
        <v>22</v>
      </c>
      <c r="C95" t="s">
        <v>157</v>
      </c>
      <c r="D95" t="s">
        <v>25</v>
      </c>
      <c r="E95" t="s">
        <v>32</v>
      </c>
      <c r="F95">
        <v>16.600000000000001</v>
      </c>
      <c r="G95">
        <v>16.2</v>
      </c>
      <c r="H95">
        <v>17</v>
      </c>
      <c r="I95" s="1">
        <v>11515</v>
      </c>
      <c r="J95">
        <v>69428</v>
      </c>
      <c r="K95" t="s">
        <v>33</v>
      </c>
      <c r="L95" t="s">
        <v>39</v>
      </c>
      <c r="M95" t="s">
        <v>39</v>
      </c>
      <c r="N95">
        <v>20240000</v>
      </c>
      <c r="O95" t="s">
        <v>27</v>
      </c>
    </row>
    <row r="96" spans="1:15" x14ac:dyDescent="0.35">
      <c r="A96" t="s">
        <v>21</v>
      </c>
      <c r="B96" t="s">
        <v>22</v>
      </c>
      <c r="C96" t="s">
        <v>165</v>
      </c>
      <c r="D96" t="s">
        <v>25</v>
      </c>
      <c r="E96" t="s">
        <v>32</v>
      </c>
      <c r="F96">
        <v>16.5</v>
      </c>
      <c r="G96">
        <v>16</v>
      </c>
      <c r="H96">
        <v>16.899999999999999</v>
      </c>
      <c r="I96" s="1">
        <v>9843</v>
      </c>
      <c r="J96">
        <v>59828</v>
      </c>
      <c r="K96" t="s">
        <v>33</v>
      </c>
      <c r="L96" t="s">
        <v>39</v>
      </c>
      <c r="M96" t="s">
        <v>39</v>
      </c>
      <c r="N96">
        <v>20240000</v>
      </c>
      <c r="O96" t="s">
        <v>27</v>
      </c>
    </row>
    <row r="97" spans="1:15" x14ac:dyDescent="0.35">
      <c r="A97" t="s">
        <v>21</v>
      </c>
      <c r="B97" t="s">
        <v>22</v>
      </c>
      <c r="C97" t="s">
        <v>169</v>
      </c>
      <c r="D97" t="s">
        <v>25</v>
      </c>
      <c r="E97" t="s">
        <v>32</v>
      </c>
      <c r="F97">
        <v>16.5</v>
      </c>
      <c r="G97">
        <v>16.100000000000001</v>
      </c>
      <c r="H97">
        <v>17</v>
      </c>
      <c r="I97" s="1">
        <v>7839</v>
      </c>
      <c r="J97">
        <v>47371</v>
      </c>
      <c r="K97" t="s">
        <v>33</v>
      </c>
      <c r="L97" t="s">
        <v>39</v>
      </c>
      <c r="M97" t="s">
        <v>39</v>
      </c>
      <c r="N97">
        <v>20240000</v>
      </c>
      <c r="O97" t="s">
        <v>27</v>
      </c>
    </row>
    <row r="98" spans="1:15" x14ac:dyDescent="0.35">
      <c r="A98" t="s">
        <v>21</v>
      </c>
      <c r="B98" t="s">
        <v>22</v>
      </c>
      <c r="C98" t="s">
        <v>175</v>
      </c>
      <c r="D98" t="s">
        <v>25</v>
      </c>
      <c r="E98" t="s">
        <v>32</v>
      </c>
      <c r="F98">
        <v>16.399999999999999</v>
      </c>
      <c r="G98">
        <v>16</v>
      </c>
      <c r="H98">
        <v>16.8</v>
      </c>
      <c r="I98" s="1">
        <v>13600</v>
      </c>
      <c r="J98">
        <v>82949</v>
      </c>
      <c r="K98" t="s">
        <v>33</v>
      </c>
      <c r="L98" t="s">
        <v>39</v>
      </c>
      <c r="M98" t="s">
        <v>39</v>
      </c>
      <c r="N98">
        <v>20240000</v>
      </c>
      <c r="O98" t="s">
        <v>27</v>
      </c>
    </row>
    <row r="99" spans="1:15" x14ac:dyDescent="0.35">
      <c r="A99" t="s">
        <v>21</v>
      </c>
      <c r="B99" t="s">
        <v>22</v>
      </c>
      <c r="C99" t="s">
        <v>176</v>
      </c>
      <c r="D99" t="s">
        <v>25</v>
      </c>
      <c r="E99" t="s">
        <v>32</v>
      </c>
      <c r="F99">
        <v>16.399999999999999</v>
      </c>
      <c r="G99">
        <v>15.8</v>
      </c>
      <c r="H99">
        <v>17</v>
      </c>
      <c r="I99" s="1">
        <v>5086</v>
      </c>
      <c r="J99">
        <v>31044</v>
      </c>
      <c r="K99" t="s">
        <v>33</v>
      </c>
      <c r="L99" t="s">
        <v>39</v>
      </c>
      <c r="M99" t="s">
        <v>39</v>
      </c>
      <c r="N99">
        <v>20240000</v>
      </c>
      <c r="O99" t="s">
        <v>27</v>
      </c>
    </row>
    <row r="100" spans="1:15" x14ac:dyDescent="0.35">
      <c r="A100" t="s">
        <v>21</v>
      </c>
      <c r="B100" t="s">
        <v>22</v>
      </c>
      <c r="C100" t="s">
        <v>185</v>
      </c>
      <c r="D100" t="s">
        <v>25</v>
      </c>
      <c r="E100" t="s">
        <v>32</v>
      </c>
      <c r="F100">
        <v>16</v>
      </c>
      <c r="G100">
        <v>15.6</v>
      </c>
      <c r="H100">
        <v>16.5</v>
      </c>
      <c r="I100" s="1">
        <v>7722</v>
      </c>
      <c r="J100">
        <v>48180</v>
      </c>
      <c r="K100" t="s">
        <v>33</v>
      </c>
      <c r="L100" t="s">
        <v>39</v>
      </c>
      <c r="M100" t="s">
        <v>39</v>
      </c>
      <c r="N100">
        <v>20240000</v>
      </c>
      <c r="O100" t="s">
        <v>27</v>
      </c>
    </row>
    <row r="101" spans="1:15" x14ac:dyDescent="0.35">
      <c r="A101" t="s">
        <v>21</v>
      </c>
      <c r="B101" t="s">
        <v>22</v>
      </c>
      <c r="C101" t="s">
        <v>131</v>
      </c>
      <c r="D101" t="s">
        <v>25</v>
      </c>
      <c r="E101" t="s">
        <v>32</v>
      </c>
      <c r="F101">
        <v>15.7</v>
      </c>
      <c r="G101">
        <v>15.2</v>
      </c>
      <c r="H101">
        <v>16.3</v>
      </c>
      <c r="I101" s="1">
        <v>5363</v>
      </c>
      <c r="J101">
        <v>34073</v>
      </c>
      <c r="K101" t="s">
        <v>33</v>
      </c>
      <c r="L101" t="s">
        <v>39</v>
      </c>
      <c r="M101" t="s">
        <v>39</v>
      </c>
      <c r="N101">
        <v>20240000</v>
      </c>
      <c r="O101" t="s">
        <v>27</v>
      </c>
    </row>
    <row r="102" spans="1:15" x14ac:dyDescent="0.35">
      <c r="A102" t="s">
        <v>21</v>
      </c>
      <c r="B102" t="s">
        <v>22</v>
      </c>
      <c r="C102" t="s">
        <v>174</v>
      </c>
      <c r="D102" t="s">
        <v>25</v>
      </c>
      <c r="E102" t="s">
        <v>32</v>
      </c>
      <c r="F102">
        <v>15.7</v>
      </c>
      <c r="G102">
        <v>15.3</v>
      </c>
      <c r="H102">
        <v>16</v>
      </c>
      <c r="I102" s="1">
        <v>11374</v>
      </c>
      <c r="J102">
        <v>72667</v>
      </c>
      <c r="K102" t="s">
        <v>33</v>
      </c>
      <c r="L102" t="s">
        <v>39</v>
      </c>
      <c r="M102" t="s">
        <v>39</v>
      </c>
      <c r="N102">
        <v>20240000</v>
      </c>
      <c r="O102" t="s">
        <v>27</v>
      </c>
    </row>
    <row r="103" spans="1:15" x14ac:dyDescent="0.35">
      <c r="A103" t="s">
        <v>21</v>
      </c>
      <c r="B103" t="s">
        <v>22</v>
      </c>
      <c r="C103" t="s">
        <v>95</v>
      </c>
      <c r="D103" t="s">
        <v>25</v>
      </c>
      <c r="E103" t="s">
        <v>32</v>
      </c>
      <c r="F103">
        <v>15.5</v>
      </c>
      <c r="G103">
        <v>15</v>
      </c>
      <c r="H103">
        <v>15.9</v>
      </c>
      <c r="I103" s="1">
        <v>8901</v>
      </c>
      <c r="J103">
        <v>57604</v>
      </c>
      <c r="K103" t="s">
        <v>33</v>
      </c>
      <c r="L103" t="s">
        <v>39</v>
      </c>
      <c r="M103" t="s">
        <v>39</v>
      </c>
      <c r="N103">
        <v>20240000</v>
      </c>
      <c r="O103" t="s">
        <v>27</v>
      </c>
    </row>
    <row r="104" spans="1:15" x14ac:dyDescent="0.35">
      <c r="A104" t="s">
        <v>21</v>
      </c>
      <c r="B104" t="s">
        <v>22</v>
      </c>
      <c r="C104" t="s">
        <v>160</v>
      </c>
      <c r="D104" t="s">
        <v>25</v>
      </c>
      <c r="E104" t="s">
        <v>32</v>
      </c>
      <c r="F104">
        <v>15.5</v>
      </c>
      <c r="G104">
        <v>15.1</v>
      </c>
      <c r="H104">
        <v>16</v>
      </c>
      <c r="I104" s="1">
        <v>8594</v>
      </c>
      <c r="J104">
        <v>55268</v>
      </c>
      <c r="K104" t="s">
        <v>33</v>
      </c>
      <c r="L104" t="s">
        <v>39</v>
      </c>
      <c r="M104" t="s">
        <v>39</v>
      </c>
      <c r="N104">
        <v>20240000</v>
      </c>
      <c r="O104" t="s">
        <v>27</v>
      </c>
    </row>
    <row r="105" spans="1:15" x14ac:dyDescent="0.35">
      <c r="A105" t="s">
        <v>21</v>
      </c>
      <c r="B105" t="s">
        <v>22</v>
      </c>
      <c r="C105" t="s">
        <v>87</v>
      </c>
      <c r="D105" t="s">
        <v>25</v>
      </c>
      <c r="E105" t="s">
        <v>32</v>
      </c>
      <c r="F105">
        <v>15.5</v>
      </c>
      <c r="G105">
        <v>15.1</v>
      </c>
      <c r="H105">
        <v>15.9</v>
      </c>
      <c r="I105" s="1">
        <v>8992</v>
      </c>
      <c r="J105">
        <v>58061</v>
      </c>
      <c r="K105" t="s">
        <v>33</v>
      </c>
      <c r="L105" t="s">
        <v>39</v>
      </c>
      <c r="M105" t="s">
        <v>39</v>
      </c>
      <c r="N105">
        <v>20240000</v>
      </c>
      <c r="O105" t="s">
        <v>27</v>
      </c>
    </row>
    <row r="106" spans="1:15" x14ac:dyDescent="0.35">
      <c r="A106" t="s">
        <v>21</v>
      </c>
      <c r="B106" t="s">
        <v>22</v>
      </c>
      <c r="C106" t="s">
        <v>112</v>
      </c>
      <c r="D106" t="s">
        <v>25</v>
      </c>
      <c r="E106" t="s">
        <v>32</v>
      </c>
      <c r="F106">
        <v>15.3</v>
      </c>
      <c r="G106">
        <v>14.9</v>
      </c>
      <c r="H106">
        <v>15.7</v>
      </c>
      <c r="I106" s="1">
        <v>10112</v>
      </c>
      <c r="J106">
        <v>66211</v>
      </c>
      <c r="K106" t="s">
        <v>33</v>
      </c>
      <c r="L106" t="s">
        <v>39</v>
      </c>
      <c r="M106" t="s">
        <v>39</v>
      </c>
      <c r="N106">
        <v>20240000</v>
      </c>
      <c r="O106" t="s">
        <v>27</v>
      </c>
    </row>
    <row r="107" spans="1:15" x14ac:dyDescent="0.35">
      <c r="A107" t="s">
        <v>21</v>
      </c>
      <c r="B107" t="s">
        <v>22</v>
      </c>
      <c r="C107" t="s">
        <v>42</v>
      </c>
      <c r="D107" t="s">
        <v>25</v>
      </c>
      <c r="E107" t="s">
        <v>32</v>
      </c>
      <c r="F107">
        <v>15.3</v>
      </c>
      <c r="G107">
        <v>15.2</v>
      </c>
      <c r="H107">
        <v>15.5</v>
      </c>
      <c r="I107" s="1">
        <v>48142</v>
      </c>
      <c r="J107">
        <v>314058</v>
      </c>
      <c r="K107" t="s">
        <v>33</v>
      </c>
      <c r="L107" t="s">
        <v>39</v>
      </c>
      <c r="M107" t="s">
        <v>39</v>
      </c>
      <c r="N107">
        <v>20240000</v>
      </c>
      <c r="O107" t="s">
        <v>27</v>
      </c>
    </row>
    <row r="108" spans="1:15" x14ac:dyDescent="0.35">
      <c r="A108" t="s">
        <v>21</v>
      </c>
      <c r="B108" t="s">
        <v>22</v>
      </c>
      <c r="C108" t="s">
        <v>67</v>
      </c>
      <c r="D108" t="s">
        <v>25</v>
      </c>
      <c r="E108" t="s">
        <v>32</v>
      </c>
      <c r="F108">
        <v>15.2</v>
      </c>
      <c r="G108">
        <v>14.8</v>
      </c>
      <c r="H108">
        <v>15.7</v>
      </c>
      <c r="I108" s="1">
        <v>6617</v>
      </c>
      <c r="J108">
        <v>43444</v>
      </c>
      <c r="K108" t="s">
        <v>33</v>
      </c>
      <c r="L108" t="s">
        <v>39</v>
      </c>
      <c r="M108" t="s">
        <v>39</v>
      </c>
      <c r="N108">
        <v>20240000</v>
      </c>
      <c r="O108" t="s">
        <v>27</v>
      </c>
    </row>
    <row r="109" spans="1:15" x14ac:dyDescent="0.35">
      <c r="A109" t="s">
        <v>21</v>
      </c>
      <c r="B109" t="s">
        <v>22</v>
      </c>
      <c r="C109" t="s">
        <v>134</v>
      </c>
      <c r="D109" t="s">
        <v>25</v>
      </c>
      <c r="E109" t="s">
        <v>32</v>
      </c>
      <c r="F109">
        <v>15.2</v>
      </c>
      <c r="G109">
        <v>14.9</v>
      </c>
      <c r="H109">
        <v>15.5</v>
      </c>
      <c r="I109" s="1">
        <v>19777</v>
      </c>
      <c r="J109">
        <v>130147</v>
      </c>
      <c r="K109" t="s">
        <v>33</v>
      </c>
      <c r="L109" t="s">
        <v>39</v>
      </c>
      <c r="M109" t="s">
        <v>39</v>
      </c>
      <c r="N109">
        <v>20240000</v>
      </c>
      <c r="O109" t="s">
        <v>27</v>
      </c>
    </row>
    <row r="110" spans="1:15" x14ac:dyDescent="0.35">
      <c r="A110" t="s">
        <v>21</v>
      </c>
      <c r="B110" t="s">
        <v>22</v>
      </c>
      <c r="C110" t="s">
        <v>173</v>
      </c>
      <c r="D110" t="s">
        <v>25</v>
      </c>
      <c r="E110" t="s">
        <v>32</v>
      </c>
      <c r="F110">
        <v>15.2</v>
      </c>
      <c r="G110">
        <v>14.8</v>
      </c>
      <c r="H110">
        <v>15.6</v>
      </c>
      <c r="I110" s="1">
        <v>10698</v>
      </c>
      <c r="J110">
        <v>70418</v>
      </c>
      <c r="K110" t="s">
        <v>33</v>
      </c>
      <c r="L110" t="s">
        <v>39</v>
      </c>
      <c r="M110" t="s">
        <v>39</v>
      </c>
      <c r="N110">
        <v>20240000</v>
      </c>
      <c r="O110" t="s">
        <v>27</v>
      </c>
    </row>
    <row r="111" spans="1:15" x14ac:dyDescent="0.35">
      <c r="A111" t="s">
        <v>21</v>
      </c>
      <c r="B111" t="s">
        <v>22</v>
      </c>
      <c r="C111" t="s">
        <v>43</v>
      </c>
      <c r="D111" t="s">
        <v>25</v>
      </c>
      <c r="E111" t="s">
        <v>32</v>
      </c>
      <c r="F111">
        <v>15.1</v>
      </c>
      <c r="G111">
        <v>14.6</v>
      </c>
      <c r="H111">
        <v>15.6</v>
      </c>
      <c r="I111" s="1">
        <v>5971</v>
      </c>
      <c r="J111">
        <v>39473</v>
      </c>
      <c r="K111" t="s">
        <v>33</v>
      </c>
      <c r="L111" t="s">
        <v>39</v>
      </c>
      <c r="M111" t="s">
        <v>39</v>
      </c>
      <c r="N111">
        <v>20240000</v>
      </c>
      <c r="O111" t="s">
        <v>27</v>
      </c>
    </row>
    <row r="112" spans="1:15" x14ac:dyDescent="0.35">
      <c r="A112" t="s">
        <v>21</v>
      </c>
      <c r="B112" t="s">
        <v>22</v>
      </c>
      <c r="C112" t="s">
        <v>166</v>
      </c>
      <c r="D112" t="s">
        <v>25</v>
      </c>
      <c r="E112" t="s">
        <v>32</v>
      </c>
      <c r="F112">
        <v>15.1</v>
      </c>
      <c r="G112">
        <v>14.7</v>
      </c>
      <c r="H112">
        <v>15.5</v>
      </c>
      <c r="I112" s="1">
        <v>10125</v>
      </c>
      <c r="J112">
        <v>67140</v>
      </c>
      <c r="K112" t="s">
        <v>33</v>
      </c>
      <c r="L112" t="s">
        <v>39</v>
      </c>
      <c r="M112" t="s">
        <v>39</v>
      </c>
      <c r="N112">
        <v>20240000</v>
      </c>
      <c r="O112" t="s">
        <v>27</v>
      </c>
    </row>
    <row r="113" spans="1:15" x14ac:dyDescent="0.35">
      <c r="A113" t="s">
        <v>21</v>
      </c>
      <c r="B113" t="s">
        <v>22</v>
      </c>
      <c r="C113" t="s">
        <v>44</v>
      </c>
      <c r="D113" t="s">
        <v>25</v>
      </c>
      <c r="E113" t="s">
        <v>32</v>
      </c>
      <c r="F113">
        <v>15.1</v>
      </c>
      <c r="G113">
        <v>14.8</v>
      </c>
      <c r="H113">
        <v>15.4</v>
      </c>
      <c r="I113" s="1">
        <v>17669</v>
      </c>
      <c r="J113">
        <v>117092</v>
      </c>
      <c r="K113" t="s">
        <v>33</v>
      </c>
      <c r="L113" t="s">
        <v>39</v>
      </c>
      <c r="M113" t="s">
        <v>39</v>
      </c>
      <c r="N113">
        <v>20240000</v>
      </c>
      <c r="O113" t="s">
        <v>27</v>
      </c>
    </row>
    <row r="114" spans="1:15" x14ac:dyDescent="0.35">
      <c r="A114" t="s">
        <v>21</v>
      </c>
      <c r="B114" t="s">
        <v>22</v>
      </c>
      <c r="C114" t="s">
        <v>28</v>
      </c>
      <c r="D114" t="s">
        <v>25</v>
      </c>
      <c r="E114" t="s">
        <v>32</v>
      </c>
      <c r="F114">
        <v>15.1</v>
      </c>
      <c r="G114">
        <v>14.7</v>
      </c>
      <c r="H114">
        <v>15.5</v>
      </c>
      <c r="I114" s="1">
        <v>9524</v>
      </c>
      <c r="J114">
        <v>63122</v>
      </c>
      <c r="K114" t="s">
        <v>33</v>
      </c>
      <c r="L114" t="s">
        <v>39</v>
      </c>
      <c r="M114" t="s">
        <v>39</v>
      </c>
      <c r="N114">
        <v>20240000</v>
      </c>
      <c r="O114" t="s">
        <v>27</v>
      </c>
    </row>
    <row r="115" spans="1:15" x14ac:dyDescent="0.35">
      <c r="A115" t="s">
        <v>21</v>
      </c>
      <c r="B115" t="s">
        <v>22</v>
      </c>
      <c r="C115" t="s">
        <v>110</v>
      </c>
      <c r="D115" t="s">
        <v>25</v>
      </c>
      <c r="E115" t="s">
        <v>32</v>
      </c>
      <c r="F115">
        <v>14.9</v>
      </c>
      <c r="G115">
        <v>14.3</v>
      </c>
      <c r="H115">
        <v>15.4</v>
      </c>
      <c r="I115" s="1">
        <v>5144</v>
      </c>
      <c r="J115">
        <v>34635</v>
      </c>
      <c r="K115" t="s">
        <v>33</v>
      </c>
      <c r="L115" t="s">
        <v>39</v>
      </c>
      <c r="M115" t="s">
        <v>39</v>
      </c>
      <c r="N115">
        <v>20240000</v>
      </c>
      <c r="O115" t="s">
        <v>27</v>
      </c>
    </row>
    <row r="116" spans="1:15" x14ac:dyDescent="0.35">
      <c r="A116" t="s">
        <v>21</v>
      </c>
      <c r="B116" t="s">
        <v>22</v>
      </c>
      <c r="C116" t="s">
        <v>187</v>
      </c>
      <c r="D116" t="s">
        <v>25</v>
      </c>
      <c r="E116" t="s">
        <v>32</v>
      </c>
      <c r="F116">
        <v>14.7</v>
      </c>
      <c r="G116">
        <v>14.4</v>
      </c>
      <c r="H116">
        <v>15</v>
      </c>
      <c r="I116" s="1">
        <v>14753</v>
      </c>
      <c r="J116">
        <v>100546</v>
      </c>
      <c r="K116" t="s">
        <v>33</v>
      </c>
      <c r="L116" t="s">
        <v>39</v>
      </c>
      <c r="M116" t="s">
        <v>39</v>
      </c>
      <c r="N116">
        <v>20240000</v>
      </c>
      <c r="O116" t="s">
        <v>27</v>
      </c>
    </row>
    <row r="117" spans="1:15" x14ac:dyDescent="0.35">
      <c r="A117" t="s">
        <v>21</v>
      </c>
      <c r="B117" t="s">
        <v>22</v>
      </c>
      <c r="C117" t="s">
        <v>88</v>
      </c>
      <c r="D117" t="s">
        <v>25</v>
      </c>
      <c r="E117" t="s">
        <v>32</v>
      </c>
      <c r="F117">
        <v>14.5</v>
      </c>
      <c r="G117">
        <v>14.1</v>
      </c>
      <c r="H117">
        <v>14.9</v>
      </c>
      <c r="I117" s="1">
        <v>9556</v>
      </c>
      <c r="J117">
        <v>65972</v>
      </c>
      <c r="K117" t="s">
        <v>33</v>
      </c>
      <c r="L117" t="s">
        <v>39</v>
      </c>
      <c r="M117" t="s">
        <v>39</v>
      </c>
      <c r="N117">
        <v>20240000</v>
      </c>
      <c r="O117" t="s">
        <v>27</v>
      </c>
    </row>
    <row r="118" spans="1:15" x14ac:dyDescent="0.35">
      <c r="A118" t="s">
        <v>21</v>
      </c>
      <c r="B118" t="s">
        <v>22</v>
      </c>
      <c r="C118" t="s">
        <v>148</v>
      </c>
      <c r="D118" t="s">
        <v>25</v>
      </c>
      <c r="E118" t="s">
        <v>32</v>
      </c>
      <c r="F118">
        <v>14.4</v>
      </c>
      <c r="G118">
        <v>14.2</v>
      </c>
      <c r="H118">
        <v>14.5</v>
      </c>
      <c r="I118" s="1">
        <v>41938</v>
      </c>
      <c r="J118">
        <v>292209</v>
      </c>
      <c r="K118" t="s">
        <v>33</v>
      </c>
      <c r="L118" t="s">
        <v>39</v>
      </c>
      <c r="M118" t="s">
        <v>39</v>
      </c>
      <c r="N118">
        <v>20240000</v>
      </c>
      <c r="O118" t="s">
        <v>27</v>
      </c>
    </row>
    <row r="119" spans="1:15" x14ac:dyDescent="0.35">
      <c r="A119" t="s">
        <v>21</v>
      </c>
      <c r="B119" t="s">
        <v>22</v>
      </c>
      <c r="C119" t="s">
        <v>130</v>
      </c>
      <c r="D119" t="s">
        <v>25</v>
      </c>
      <c r="E119" t="s">
        <v>32</v>
      </c>
      <c r="F119">
        <v>14.2</v>
      </c>
      <c r="G119">
        <v>13.9</v>
      </c>
      <c r="H119">
        <v>14.5</v>
      </c>
      <c r="I119" s="1">
        <v>16326</v>
      </c>
      <c r="J119">
        <v>114754</v>
      </c>
      <c r="K119" t="s">
        <v>33</v>
      </c>
      <c r="L119" t="s">
        <v>39</v>
      </c>
      <c r="M119" t="s">
        <v>39</v>
      </c>
      <c r="N119">
        <v>20240000</v>
      </c>
      <c r="O119" t="s">
        <v>27</v>
      </c>
    </row>
    <row r="120" spans="1:15" x14ac:dyDescent="0.35">
      <c r="A120" t="s">
        <v>21</v>
      </c>
      <c r="B120" t="s">
        <v>22</v>
      </c>
      <c r="C120" t="s">
        <v>168</v>
      </c>
      <c r="D120" t="s">
        <v>25</v>
      </c>
      <c r="E120" t="s">
        <v>32</v>
      </c>
      <c r="F120">
        <v>14</v>
      </c>
      <c r="G120">
        <v>13.6</v>
      </c>
      <c r="H120">
        <v>14.4</v>
      </c>
      <c r="I120" s="1">
        <v>7487</v>
      </c>
      <c r="J120">
        <v>53449</v>
      </c>
      <c r="K120" t="s">
        <v>33</v>
      </c>
      <c r="L120" t="s">
        <v>39</v>
      </c>
      <c r="M120" t="s">
        <v>39</v>
      </c>
      <c r="N120">
        <v>20240000</v>
      </c>
      <c r="O120" t="s">
        <v>27</v>
      </c>
    </row>
    <row r="121" spans="1:15" x14ac:dyDescent="0.35">
      <c r="A121" t="s">
        <v>21</v>
      </c>
      <c r="B121" t="s">
        <v>22</v>
      </c>
      <c r="C121" t="s">
        <v>186</v>
      </c>
      <c r="D121" t="s">
        <v>25</v>
      </c>
      <c r="E121" t="s">
        <v>32</v>
      </c>
      <c r="F121">
        <v>13.9</v>
      </c>
      <c r="G121">
        <v>13.3</v>
      </c>
      <c r="H121">
        <v>14.4</v>
      </c>
      <c r="I121" s="1">
        <v>4218</v>
      </c>
      <c r="J121">
        <v>30436</v>
      </c>
      <c r="K121" t="s">
        <v>33</v>
      </c>
      <c r="L121" t="s">
        <v>39</v>
      </c>
      <c r="M121" t="s">
        <v>39</v>
      </c>
      <c r="N121">
        <v>20240000</v>
      </c>
      <c r="O121" t="s">
        <v>27</v>
      </c>
    </row>
    <row r="122" spans="1:15" x14ac:dyDescent="0.35">
      <c r="A122" t="s">
        <v>21</v>
      </c>
      <c r="B122" t="s">
        <v>22</v>
      </c>
      <c r="C122" t="s">
        <v>183</v>
      </c>
      <c r="D122" t="s">
        <v>25</v>
      </c>
      <c r="E122" t="s">
        <v>32</v>
      </c>
      <c r="F122">
        <v>13.8</v>
      </c>
      <c r="G122">
        <v>13.4</v>
      </c>
      <c r="H122">
        <v>14.3</v>
      </c>
      <c r="I122" s="1">
        <v>5578</v>
      </c>
      <c r="J122">
        <v>40352</v>
      </c>
      <c r="K122" t="s">
        <v>33</v>
      </c>
      <c r="L122" t="s">
        <v>39</v>
      </c>
      <c r="M122" t="s">
        <v>39</v>
      </c>
      <c r="N122">
        <v>20240000</v>
      </c>
      <c r="O122" t="s">
        <v>27</v>
      </c>
    </row>
    <row r="123" spans="1:15" x14ac:dyDescent="0.35">
      <c r="A123" t="s">
        <v>21</v>
      </c>
      <c r="B123" t="s">
        <v>22</v>
      </c>
      <c r="C123" t="s">
        <v>167</v>
      </c>
      <c r="D123" t="s">
        <v>25</v>
      </c>
      <c r="E123" t="s">
        <v>32</v>
      </c>
      <c r="F123">
        <v>13.2</v>
      </c>
      <c r="G123">
        <v>12.8</v>
      </c>
      <c r="H123">
        <v>13.6</v>
      </c>
      <c r="I123" s="1">
        <v>7483</v>
      </c>
      <c r="J123">
        <v>56895</v>
      </c>
      <c r="K123" t="s">
        <v>33</v>
      </c>
      <c r="L123" t="s">
        <v>39</v>
      </c>
      <c r="M123" t="s">
        <v>39</v>
      </c>
      <c r="N123">
        <v>20240000</v>
      </c>
      <c r="O123" t="s">
        <v>27</v>
      </c>
    </row>
    <row r="124" spans="1:15" x14ac:dyDescent="0.35">
      <c r="A124" t="s">
        <v>21</v>
      </c>
      <c r="B124" t="s">
        <v>22</v>
      </c>
      <c r="C124" t="s">
        <v>45</v>
      </c>
      <c r="D124" t="s">
        <v>25</v>
      </c>
      <c r="E124" t="s">
        <v>32</v>
      </c>
      <c r="F124">
        <v>13.1</v>
      </c>
      <c r="G124">
        <v>12.8</v>
      </c>
      <c r="H124">
        <v>13.4</v>
      </c>
      <c r="I124" s="1">
        <v>12044</v>
      </c>
      <c r="J124">
        <v>91708</v>
      </c>
      <c r="K124" t="s">
        <v>33</v>
      </c>
      <c r="L124" t="s">
        <v>39</v>
      </c>
      <c r="M124" t="s">
        <v>39</v>
      </c>
      <c r="N124">
        <v>20240000</v>
      </c>
      <c r="O124" t="s">
        <v>27</v>
      </c>
    </row>
    <row r="125" spans="1:15" x14ac:dyDescent="0.35">
      <c r="A125" t="s">
        <v>21</v>
      </c>
      <c r="B125" t="s">
        <v>22</v>
      </c>
      <c r="C125" t="s">
        <v>46</v>
      </c>
      <c r="D125" t="s">
        <v>25</v>
      </c>
      <c r="E125" t="s">
        <v>32</v>
      </c>
      <c r="F125">
        <v>13</v>
      </c>
      <c r="G125">
        <v>12.7</v>
      </c>
      <c r="H125">
        <v>13.4</v>
      </c>
      <c r="I125" s="1">
        <v>9568</v>
      </c>
      <c r="J125">
        <v>73497</v>
      </c>
      <c r="K125" t="s">
        <v>33</v>
      </c>
      <c r="L125" t="s">
        <v>39</v>
      </c>
      <c r="M125" t="s">
        <v>39</v>
      </c>
      <c r="N125">
        <v>20240000</v>
      </c>
      <c r="O125" t="s">
        <v>27</v>
      </c>
    </row>
    <row r="126" spans="1:15" x14ac:dyDescent="0.35">
      <c r="A126" t="s">
        <v>21</v>
      </c>
      <c r="B126" t="s">
        <v>22</v>
      </c>
      <c r="C126" t="s">
        <v>170</v>
      </c>
      <c r="D126" t="s">
        <v>25</v>
      </c>
      <c r="E126" t="s">
        <v>32</v>
      </c>
      <c r="F126">
        <v>12.9</v>
      </c>
      <c r="G126">
        <v>12.4</v>
      </c>
      <c r="H126">
        <v>13.5</v>
      </c>
      <c r="I126" s="1">
        <v>3677</v>
      </c>
      <c r="J126">
        <v>28480</v>
      </c>
      <c r="K126" t="s">
        <v>33</v>
      </c>
      <c r="L126" t="s">
        <v>39</v>
      </c>
      <c r="M126" t="s">
        <v>39</v>
      </c>
      <c r="N126">
        <v>20240000</v>
      </c>
      <c r="O126" t="s">
        <v>27</v>
      </c>
    </row>
    <row r="127" spans="1:15" x14ac:dyDescent="0.35">
      <c r="A127" t="s">
        <v>21</v>
      </c>
      <c r="B127" t="s">
        <v>22</v>
      </c>
      <c r="C127" t="s">
        <v>47</v>
      </c>
      <c r="D127" t="s">
        <v>25</v>
      </c>
      <c r="E127" t="s">
        <v>32</v>
      </c>
      <c r="F127">
        <v>12.8</v>
      </c>
      <c r="G127">
        <v>12.6</v>
      </c>
      <c r="H127">
        <v>13.1</v>
      </c>
      <c r="I127" s="1">
        <v>20606</v>
      </c>
      <c r="J127">
        <v>160665</v>
      </c>
      <c r="K127" t="s">
        <v>33</v>
      </c>
      <c r="L127" t="s">
        <v>39</v>
      </c>
      <c r="M127" t="s">
        <v>39</v>
      </c>
      <c r="N127">
        <v>20240000</v>
      </c>
      <c r="O127" t="s">
        <v>27</v>
      </c>
    </row>
    <row r="128" spans="1:15" x14ac:dyDescent="0.35">
      <c r="A128" t="s">
        <v>21</v>
      </c>
      <c r="B128" t="s">
        <v>22</v>
      </c>
      <c r="C128" t="s">
        <v>150</v>
      </c>
      <c r="D128" t="s">
        <v>25</v>
      </c>
      <c r="E128" t="s">
        <v>32</v>
      </c>
      <c r="F128">
        <v>12.7</v>
      </c>
      <c r="G128">
        <v>12.2</v>
      </c>
      <c r="H128">
        <v>13.3</v>
      </c>
      <c r="I128" s="1">
        <v>3338</v>
      </c>
      <c r="J128">
        <v>26220</v>
      </c>
      <c r="K128" t="s">
        <v>33</v>
      </c>
      <c r="L128" t="s">
        <v>39</v>
      </c>
      <c r="M128" t="s">
        <v>39</v>
      </c>
      <c r="N128">
        <v>20240000</v>
      </c>
      <c r="O128" t="s">
        <v>27</v>
      </c>
    </row>
    <row r="129" spans="1:15" x14ac:dyDescent="0.35">
      <c r="A129" t="s">
        <v>21</v>
      </c>
      <c r="B129" t="s">
        <v>22</v>
      </c>
      <c r="C129" t="s">
        <v>151</v>
      </c>
      <c r="D129" t="s">
        <v>25</v>
      </c>
      <c r="E129" t="s">
        <v>32</v>
      </c>
      <c r="F129">
        <v>12.6</v>
      </c>
      <c r="G129">
        <v>12.2</v>
      </c>
      <c r="H129">
        <v>13</v>
      </c>
      <c r="I129" s="1">
        <v>6671</v>
      </c>
      <c r="J129">
        <v>52774</v>
      </c>
      <c r="K129" t="s">
        <v>33</v>
      </c>
      <c r="L129" t="s">
        <v>39</v>
      </c>
      <c r="M129" t="s">
        <v>39</v>
      </c>
      <c r="N129">
        <v>20240000</v>
      </c>
      <c r="O129" t="s">
        <v>27</v>
      </c>
    </row>
    <row r="130" spans="1:15" x14ac:dyDescent="0.35">
      <c r="A130" t="s">
        <v>21</v>
      </c>
      <c r="B130" t="s">
        <v>22</v>
      </c>
      <c r="C130" t="s">
        <v>129</v>
      </c>
      <c r="D130" t="s">
        <v>25</v>
      </c>
      <c r="E130" t="s">
        <v>32</v>
      </c>
      <c r="F130">
        <v>12.6</v>
      </c>
      <c r="G130">
        <v>12.3</v>
      </c>
      <c r="H130">
        <v>12.8</v>
      </c>
      <c r="I130" s="1">
        <v>15855</v>
      </c>
      <c r="J130">
        <v>126334</v>
      </c>
      <c r="K130" t="s">
        <v>33</v>
      </c>
      <c r="L130" t="s">
        <v>39</v>
      </c>
      <c r="M130" t="s">
        <v>39</v>
      </c>
      <c r="N130">
        <v>20240000</v>
      </c>
      <c r="O130" t="s">
        <v>27</v>
      </c>
    </row>
    <row r="131" spans="1:15" x14ac:dyDescent="0.35">
      <c r="A131" t="s">
        <v>21</v>
      </c>
      <c r="B131" t="s">
        <v>22</v>
      </c>
      <c r="C131" t="s">
        <v>93</v>
      </c>
      <c r="D131" t="s">
        <v>25</v>
      </c>
      <c r="E131" t="s">
        <v>32</v>
      </c>
      <c r="F131">
        <v>12.3</v>
      </c>
      <c r="G131">
        <v>11.9</v>
      </c>
      <c r="H131">
        <v>12.7</v>
      </c>
      <c r="I131" s="1">
        <v>6173</v>
      </c>
      <c r="J131">
        <v>50230</v>
      </c>
      <c r="K131" t="s">
        <v>33</v>
      </c>
      <c r="L131" t="s">
        <v>39</v>
      </c>
      <c r="M131" t="s">
        <v>39</v>
      </c>
      <c r="N131">
        <v>20240000</v>
      </c>
      <c r="O131" t="s">
        <v>27</v>
      </c>
    </row>
    <row r="132" spans="1:15" x14ac:dyDescent="0.35">
      <c r="A132" t="s">
        <v>21</v>
      </c>
      <c r="B132" t="s">
        <v>22</v>
      </c>
      <c r="C132" t="s">
        <v>142</v>
      </c>
      <c r="D132" t="s">
        <v>25</v>
      </c>
      <c r="E132" t="s">
        <v>32</v>
      </c>
      <c r="F132">
        <v>12.3</v>
      </c>
      <c r="G132">
        <v>11.9</v>
      </c>
      <c r="H132">
        <v>12.8</v>
      </c>
      <c r="I132" s="1">
        <v>4833</v>
      </c>
      <c r="J132">
        <v>39227</v>
      </c>
      <c r="K132" t="s">
        <v>33</v>
      </c>
      <c r="L132" t="s">
        <v>39</v>
      </c>
      <c r="M132" t="s">
        <v>39</v>
      </c>
      <c r="N132">
        <v>20240000</v>
      </c>
      <c r="O132" t="s">
        <v>27</v>
      </c>
    </row>
    <row r="133" spans="1:15" x14ac:dyDescent="0.35">
      <c r="A133" t="s">
        <v>21</v>
      </c>
      <c r="B133" t="s">
        <v>22</v>
      </c>
      <c r="C133" t="s">
        <v>48</v>
      </c>
      <c r="D133" t="s">
        <v>25</v>
      </c>
      <c r="E133" t="s">
        <v>32</v>
      </c>
      <c r="F133">
        <v>11.7</v>
      </c>
      <c r="G133">
        <v>11.4</v>
      </c>
      <c r="H133">
        <v>12.1</v>
      </c>
      <c r="I133" s="1">
        <v>7371</v>
      </c>
      <c r="J133">
        <v>62754</v>
      </c>
      <c r="K133" t="s">
        <v>33</v>
      </c>
      <c r="L133" t="s">
        <v>39</v>
      </c>
      <c r="M133" t="s">
        <v>39</v>
      </c>
      <c r="N133">
        <v>20240000</v>
      </c>
      <c r="O133" t="s">
        <v>27</v>
      </c>
    </row>
    <row r="134" spans="1:15" x14ac:dyDescent="0.35">
      <c r="A134" t="s">
        <v>21</v>
      </c>
      <c r="B134" t="s">
        <v>22</v>
      </c>
      <c r="C134" t="s">
        <v>159</v>
      </c>
      <c r="D134" t="s">
        <v>25</v>
      </c>
      <c r="E134" t="s">
        <v>32</v>
      </c>
      <c r="F134">
        <v>11.6</v>
      </c>
      <c r="G134">
        <v>11.1</v>
      </c>
      <c r="H134">
        <v>12</v>
      </c>
      <c r="I134" s="1">
        <v>4841</v>
      </c>
      <c r="J134">
        <v>41890</v>
      </c>
      <c r="K134" t="s">
        <v>33</v>
      </c>
      <c r="L134" t="s">
        <v>39</v>
      </c>
      <c r="M134" t="s">
        <v>39</v>
      </c>
      <c r="N134">
        <v>20240000</v>
      </c>
      <c r="O134" t="s">
        <v>27</v>
      </c>
    </row>
    <row r="135" spans="1:15" x14ac:dyDescent="0.35">
      <c r="A135" t="s">
        <v>21</v>
      </c>
      <c r="B135" t="s">
        <v>22</v>
      </c>
      <c r="C135" t="s">
        <v>133</v>
      </c>
      <c r="D135" t="s">
        <v>25</v>
      </c>
      <c r="E135" t="s">
        <v>32</v>
      </c>
      <c r="F135">
        <v>11.5</v>
      </c>
      <c r="G135">
        <v>10.4</v>
      </c>
      <c r="H135">
        <v>12.6</v>
      </c>
      <c r="I135">
        <v>744</v>
      </c>
      <c r="J135">
        <v>6488</v>
      </c>
      <c r="K135" t="s">
        <v>33</v>
      </c>
      <c r="L135" t="s">
        <v>39</v>
      </c>
      <c r="M135" t="s">
        <v>39</v>
      </c>
      <c r="N135">
        <v>20240000</v>
      </c>
      <c r="O135" t="s">
        <v>27</v>
      </c>
    </row>
    <row r="136" spans="1:15" x14ac:dyDescent="0.35">
      <c r="A136" t="s">
        <v>21</v>
      </c>
      <c r="B136" t="s">
        <v>22</v>
      </c>
      <c r="C136" t="s">
        <v>179</v>
      </c>
      <c r="D136" t="s">
        <v>25</v>
      </c>
      <c r="E136" t="s">
        <v>32</v>
      </c>
      <c r="F136">
        <v>11.4</v>
      </c>
      <c r="G136">
        <v>11</v>
      </c>
      <c r="H136">
        <v>11.8</v>
      </c>
      <c r="I136" s="1">
        <v>5928</v>
      </c>
      <c r="J136">
        <v>51912</v>
      </c>
      <c r="K136" t="s">
        <v>33</v>
      </c>
      <c r="L136" t="s">
        <v>39</v>
      </c>
      <c r="M136" t="s">
        <v>39</v>
      </c>
      <c r="N136">
        <v>20240000</v>
      </c>
      <c r="O136" t="s">
        <v>27</v>
      </c>
    </row>
    <row r="137" spans="1:15" x14ac:dyDescent="0.35">
      <c r="A137" t="s">
        <v>21</v>
      </c>
      <c r="B137" t="s">
        <v>22</v>
      </c>
      <c r="C137" t="s">
        <v>49</v>
      </c>
      <c r="D137" t="s">
        <v>25</v>
      </c>
      <c r="E137" t="s">
        <v>32</v>
      </c>
      <c r="F137">
        <v>11.3</v>
      </c>
      <c r="G137">
        <v>11.1</v>
      </c>
      <c r="H137">
        <v>11.5</v>
      </c>
      <c r="I137" s="1">
        <v>28883</v>
      </c>
      <c r="J137">
        <v>255231</v>
      </c>
      <c r="K137" t="s">
        <v>33</v>
      </c>
      <c r="L137" t="s">
        <v>39</v>
      </c>
      <c r="M137" t="s">
        <v>39</v>
      </c>
      <c r="N137">
        <v>20240000</v>
      </c>
      <c r="O137" t="s">
        <v>27</v>
      </c>
    </row>
    <row r="138" spans="1:15" x14ac:dyDescent="0.35">
      <c r="A138" t="s">
        <v>21</v>
      </c>
      <c r="B138" t="s">
        <v>22</v>
      </c>
      <c r="C138" t="s">
        <v>50</v>
      </c>
      <c r="D138" t="s">
        <v>25</v>
      </c>
      <c r="E138" t="s">
        <v>32</v>
      </c>
      <c r="F138">
        <v>11.2</v>
      </c>
      <c r="G138">
        <v>10.8</v>
      </c>
      <c r="H138">
        <v>11.5</v>
      </c>
      <c r="I138" s="1">
        <v>6236</v>
      </c>
      <c r="J138">
        <v>55915</v>
      </c>
      <c r="K138" t="s">
        <v>33</v>
      </c>
      <c r="L138" t="s">
        <v>39</v>
      </c>
      <c r="M138" t="s">
        <v>39</v>
      </c>
      <c r="N138">
        <v>20240000</v>
      </c>
      <c r="O138" t="s">
        <v>27</v>
      </c>
    </row>
    <row r="139" spans="1:15" x14ac:dyDescent="0.35">
      <c r="A139" t="s">
        <v>21</v>
      </c>
      <c r="B139" t="s">
        <v>22</v>
      </c>
      <c r="C139" t="s">
        <v>180</v>
      </c>
      <c r="D139" t="s">
        <v>25</v>
      </c>
      <c r="E139" t="s">
        <v>32</v>
      </c>
      <c r="F139">
        <v>11.2</v>
      </c>
      <c r="G139">
        <v>10.9</v>
      </c>
      <c r="H139">
        <v>11.5</v>
      </c>
      <c r="I139" s="1">
        <v>9318</v>
      </c>
      <c r="J139">
        <v>83146</v>
      </c>
      <c r="K139" t="s">
        <v>33</v>
      </c>
      <c r="L139" t="s">
        <v>39</v>
      </c>
      <c r="M139" t="s">
        <v>39</v>
      </c>
      <c r="N139">
        <v>20240000</v>
      </c>
      <c r="O139" t="s">
        <v>27</v>
      </c>
    </row>
    <row r="140" spans="1:15" x14ac:dyDescent="0.35">
      <c r="A140" t="s">
        <v>21</v>
      </c>
      <c r="B140" t="s">
        <v>22</v>
      </c>
      <c r="C140" t="s">
        <v>113</v>
      </c>
      <c r="D140" t="s">
        <v>25</v>
      </c>
      <c r="E140" t="s">
        <v>32</v>
      </c>
      <c r="F140">
        <v>11</v>
      </c>
      <c r="G140">
        <v>10.7</v>
      </c>
      <c r="H140">
        <v>11.2</v>
      </c>
      <c r="I140" s="1">
        <v>12636</v>
      </c>
      <c r="J140">
        <v>115295</v>
      </c>
      <c r="K140" t="s">
        <v>33</v>
      </c>
      <c r="L140" t="s">
        <v>39</v>
      </c>
      <c r="M140" t="s">
        <v>39</v>
      </c>
      <c r="N140">
        <v>20240000</v>
      </c>
      <c r="O140" t="s">
        <v>27</v>
      </c>
    </row>
    <row r="141" spans="1:15" x14ac:dyDescent="0.35">
      <c r="A141" t="s">
        <v>21</v>
      </c>
      <c r="B141" t="s">
        <v>22</v>
      </c>
      <c r="C141" t="s">
        <v>149</v>
      </c>
      <c r="D141" t="s">
        <v>25</v>
      </c>
      <c r="E141" t="s">
        <v>32</v>
      </c>
      <c r="F141">
        <v>10.9</v>
      </c>
      <c r="G141">
        <v>10.7</v>
      </c>
      <c r="H141">
        <v>11</v>
      </c>
      <c r="I141" s="1">
        <v>26657</v>
      </c>
      <c r="J141">
        <v>245290</v>
      </c>
      <c r="K141" t="s">
        <v>33</v>
      </c>
      <c r="L141" t="s">
        <v>39</v>
      </c>
      <c r="M141" t="s">
        <v>39</v>
      </c>
      <c r="N141">
        <v>20240000</v>
      </c>
      <c r="O141" t="s">
        <v>27</v>
      </c>
    </row>
    <row r="142" spans="1:15" x14ac:dyDescent="0.35">
      <c r="A142" t="s">
        <v>21</v>
      </c>
      <c r="B142" t="s">
        <v>22</v>
      </c>
      <c r="C142" t="s">
        <v>154</v>
      </c>
      <c r="D142" t="s">
        <v>25</v>
      </c>
      <c r="E142" t="s">
        <v>32</v>
      </c>
      <c r="F142">
        <v>10.4</v>
      </c>
      <c r="G142">
        <v>10</v>
      </c>
      <c r="H142">
        <v>10.8</v>
      </c>
      <c r="I142" s="1">
        <v>4695</v>
      </c>
      <c r="J142">
        <v>45184</v>
      </c>
      <c r="K142" t="s">
        <v>33</v>
      </c>
      <c r="L142" t="s">
        <v>39</v>
      </c>
      <c r="M142" t="s">
        <v>39</v>
      </c>
      <c r="N142">
        <v>20240000</v>
      </c>
      <c r="O142" t="s">
        <v>27</v>
      </c>
    </row>
    <row r="143" spans="1:15" x14ac:dyDescent="0.35">
      <c r="A143" t="s">
        <v>21</v>
      </c>
      <c r="B143" t="s">
        <v>22</v>
      </c>
      <c r="C143" t="s">
        <v>111</v>
      </c>
      <c r="D143" t="s">
        <v>25</v>
      </c>
      <c r="E143" t="s">
        <v>32</v>
      </c>
      <c r="F143">
        <v>10.4</v>
      </c>
      <c r="G143">
        <v>10.1</v>
      </c>
      <c r="H143">
        <v>10.6</v>
      </c>
      <c r="I143" s="1">
        <v>14256</v>
      </c>
      <c r="J143">
        <v>137489</v>
      </c>
      <c r="K143" t="s">
        <v>33</v>
      </c>
      <c r="L143" t="s">
        <v>39</v>
      </c>
      <c r="M143" t="s">
        <v>39</v>
      </c>
      <c r="N143">
        <v>20240000</v>
      </c>
      <c r="O143" t="s">
        <v>27</v>
      </c>
    </row>
    <row r="144" spans="1:15" x14ac:dyDescent="0.35">
      <c r="A144" t="s">
        <v>21</v>
      </c>
      <c r="B144" t="s">
        <v>22</v>
      </c>
      <c r="C144" t="s">
        <v>144</v>
      </c>
      <c r="D144" t="s">
        <v>25</v>
      </c>
      <c r="E144" t="s">
        <v>32</v>
      </c>
      <c r="F144">
        <v>10.199999999999999</v>
      </c>
      <c r="G144">
        <v>9.6999999999999993</v>
      </c>
      <c r="H144">
        <v>10.6</v>
      </c>
      <c r="I144" s="1">
        <v>3255</v>
      </c>
      <c r="J144">
        <v>32026</v>
      </c>
      <c r="K144" t="s">
        <v>33</v>
      </c>
      <c r="L144" t="s">
        <v>39</v>
      </c>
      <c r="M144" t="s">
        <v>39</v>
      </c>
      <c r="N144">
        <v>20240000</v>
      </c>
      <c r="O144" t="s">
        <v>27</v>
      </c>
    </row>
    <row r="145" spans="1:15" x14ac:dyDescent="0.35">
      <c r="A145" t="s">
        <v>21</v>
      </c>
      <c r="B145" t="s">
        <v>22</v>
      </c>
      <c r="C145" t="s">
        <v>51</v>
      </c>
      <c r="D145" t="s">
        <v>25</v>
      </c>
      <c r="E145" t="s">
        <v>32</v>
      </c>
      <c r="F145">
        <v>9.6</v>
      </c>
      <c r="G145">
        <v>9.1</v>
      </c>
      <c r="H145">
        <v>10</v>
      </c>
      <c r="I145" s="1">
        <v>2951</v>
      </c>
      <c r="J145">
        <v>30849</v>
      </c>
      <c r="K145" t="s">
        <v>33</v>
      </c>
      <c r="L145" t="s">
        <v>39</v>
      </c>
      <c r="M145" t="s">
        <v>39</v>
      </c>
      <c r="N145">
        <v>20240000</v>
      </c>
      <c r="O145" t="s">
        <v>27</v>
      </c>
    </row>
    <row r="146" spans="1:15" x14ac:dyDescent="0.35">
      <c r="A146" t="s">
        <v>21</v>
      </c>
      <c r="B146" t="s">
        <v>22</v>
      </c>
      <c r="C146" t="s">
        <v>122</v>
      </c>
      <c r="D146" t="s">
        <v>25</v>
      </c>
      <c r="E146" t="s">
        <v>32</v>
      </c>
      <c r="F146">
        <v>8.9</v>
      </c>
      <c r="G146">
        <v>5.3</v>
      </c>
      <c r="H146">
        <v>14.4</v>
      </c>
      <c r="I146">
        <v>27</v>
      </c>
      <c r="J146">
        <v>305</v>
      </c>
      <c r="K146" t="s">
        <v>33</v>
      </c>
      <c r="L146" t="s">
        <v>39</v>
      </c>
      <c r="M146" t="s">
        <v>39</v>
      </c>
      <c r="N146">
        <v>20240000</v>
      </c>
      <c r="O146" t="s">
        <v>27</v>
      </c>
    </row>
    <row r="147" spans="1:15" x14ac:dyDescent="0.35">
      <c r="A147" t="s">
        <v>21</v>
      </c>
      <c r="B147" t="s">
        <v>22</v>
      </c>
      <c r="C147" t="s">
        <v>114</v>
      </c>
      <c r="D147" t="s">
        <v>25</v>
      </c>
      <c r="E147" t="s">
        <v>32</v>
      </c>
      <c r="F147">
        <v>8.5</v>
      </c>
      <c r="G147">
        <v>8.1</v>
      </c>
      <c r="H147">
        <v>9</v>
      </c>
      <c r="I147" s="1">
        <v>2199</v>
      </c>
      <c r="J147">
        <v>25759</v>
      </c>
      <c r="K147" t="s">
        <v>33</v>
      </c>
      <c r="L147" t="s">
        <v>39</v>
      </c>
      <c r="M147" t="s">
        <v>39</v>
      </c>
      <c r="N147">
        <v>20240000</v>
      </c>
      <c r="O147" t="s">
        <v>27</v>
      </c>
    </row>
    <row r="148" spans="1:15" x14ac:dyDescent="0.35">
      <c r="A148" t="s">
        <v>21</v>
      </c>
      <c r="B148" t="s">
        <v>22</v>
      </c>
      <c r="C148" t="s">
        <v>188</v>
      </c>
      <c r="D148" t="s">
        <v>25</v>
      </c>
      <c r="E148" t="s">
        <v>32</v>
      </c>
      <c r="F148">
        <v>8.3000000000000007</v>
      </c>
      <c r="G148">
        <v>8.1999999999999993</v>
      </c>
      <c r="H148">
        <v>8.5</v>
      </c>
      <c r="I148" s="1">
        <v>19751</v>
      </c>
      <c r="J148">
        <v>236750</v>
      </c>
      <c r="K148" t="s">
        <v>33</v>
      </c>
      <c r="L148" t="s">
        <v>39</v>
      </c>
      <c r="M148" t="s">
        <v>39</v>
      </c>
      <c r="N148">
        <v>20240000</v>
      </c>
      <c r="O148" t="s">
        <v>27</v>
      </c>
    </row>
    <row r="149" spans="1:15" x14ac:dyDescent="0.35">
      <c r="A149" t="s">
        <v>21</v>
      </c>
      <c r="B149" t="s">
        <v>22</v>
      </c>
      <c r="C149" t="s">
        <v>177</v>
      </c>
      <c r="D149" t="s">
        <v>25</v>
      </c>
      <c r="E149" t="s">
        <v>32</v>
      </c>
      <c r="F149">
        <v>8.1999999999999993</v>
      </c>
      <c r="G149">
        <v>7.9</v>
      </c>
      <c r="H149">
        <v>8.5</v>
      </c>
      <c r="I149" s="1">
        <v>5319</v>
      </c>
      <c r="J149">
        <v>65182</v>
      </c>
      <c r="K149" t="s">
        <v>33</v>
      </c>
      <c r="L149" t="s">
        <v>39</v>
      </c>
      <c r="M149" t="s">
        <v>39</v>
      </c>
      <c r="N149">
        <v>20240000</v>
      </c>
      <c r="O149" t="s">
        <v>27</v>
      </c>
    </row>
    <row r="150" spans="1:15" x14ac:dyDescent="0.35">
      <c r="A150" t="s">
        <v>21</v>
      </c>
      <c r="B150" t="s">
        <v>22</v>
      </c>
      <c r="C150" t="s">
        <v>162</v>
      </c>
      <c r="D150" t="s">
        <v>25</v>
      </c>
      <c r="E150" t="s">
        <v>32</v>
      </c>
      <c r="F150">
        <v>8</v>
      </c>
      <c r="G150">
        <v>7.6</v>
      </c>
      <c r="H150">
        <v>8.5</v>
      </c>
      <c r="I150" s="1">
        <v>2637</v>
      </c>
      <c r="J150">
        <v>32844</v>
      </c>
      <c r="K150" t="s">
        <v>33</v>
      </c>
      <c r="L150" t="s">
        <v>39</v>
      </c>
      <c r="M150" t="s">
        <v>39</v>
      </c>
      <c r="N150">
        <v>20240000</v>
      </c>
      <c r="O150" t="s">
        <v>27</v>
      </c>
    </row>
    <row r="151" spans="1:15" x14ac:dyDescent="0.35">
      <c r="A151" t="s">
        <v>21</v>
      </c>
      <c r="B151" t="s">
        <v>22</v>
      </c>
      <c r="C151" t="s">
        <v>163</v>
      </c>
      <c r="D151" t="s">
        <v>25</v>
      </c>
      <c r="E151" t="s">
        <v>32</v>
      </c>
      <c r="F151">
        <v>8</v>
      </c>
      <c r="G151">
        <v>7.5</v>
      </c>
      <c r="H151">
        <v>8.6</v>
      </c>
      <c r="I151" s="1">
        <v>1609</v>
      </c>
      <c r="J151">
        <v>20053</v>
      </c>
      <c r="K151" t="s">
        <v>33</v>
      </c>
      <c r="L151" t="s">
        <v>39</v>
      </c>
      <c r="M151" t="s">
        <v>39</v>
      </c>
      <c r="N151">
        <v>20240000</v>
      </c>
      <c r="O151" t="s">
        <v>27</v>
      </c>
    </row>
    <row r="152" spans="1:15" x14ac:dyDescent="0.35">
      <c r="A152" t="s">
        <v>21</v>
      </c>
      <c r="B152" t="s">
        <v>22</v>
      </c>
      <c r="C152" t="s">
        <v>108</v>
      </c>
      <c r="D152" t="s">
        <v>25</v>
      </c>
      <c r="E152" t="s">
        <v>32</v>
      </c>
      <c r="F152">
        <v>7.7</v>
      </c>
      <c r="G152">
        <v>7.2</v>
      </c>
      <c r="H152">
        <v>8.1</v>
      </c>
      <c r="I152" s="1">
        <v>2306</v>
      </c>
      <c r="J152">
        <v>30120</v>
      </c>
      <c r="K152" t="s">
        <v>33</v>
      </c>
      <c r="L152" t="s">
        <v>39</v>
      </c>
      <c r="M152" t="s">
        <v>39</v>
      </c>
      <c r="N152">
        <v>20240000</v>
      </c>
      <c r="O152" t="s">
        <v>27</v>
      </c>
    </row>
    <row r="153" spans="1:15" x14ac:dyDescent="0.35">
      <c r="A153" t="s">
        <v>21</v>
      </c>
      <c r="B153" t="s">
        <v>22</v>
      </c>
      <c r="C153" t="s">
        <v>182</v>
      </c>
      <c r="D153" t="s">
        <v>25</v>
      </c>
      <c r="E153" t="s">
        <v>32</v>
      </c>
      <c r="F153">
        <v>6.9</v>
      </c>
      <c r="G153">
        <v>4.7</v>
      </c>
      <c r="H153">
        <v>10</v>
      </c>
      <c r="I153">
        <v>49</v>
      </c>
      <c r="J153">
        <v>712</v>
      </c>
      <c r="K153" t="s">
        <v>33</v>
      </c>
      <c r="L153" t="s">
        <v>39</v>
      </c>
      <c r="M153" t="s">
        <v>39</v>
      </c>
      <c r="N153">
        <v>20240000</v>
      </c>
      <c r="O153" t="s">
        <v>27</v>
      </c>
    </row>
    <row r="154" spans="1:15" x14ac:dyDescent="0.35">
      <c r="A154" t="s">
        <v>21</v>
      </c>
      <c r="B154" t="s">
        <v>22</v>
      </c>
      <c r="C154" t="s">
        <v>107</v>
      </c>
      <c r="D154" t="s">
        <v>25</v>
      </c>
      <c r="E154" t="s">
        <v>32</v>
      </c>
      <c r="F154">
        <v>6.4</v>
      </c>
      <c r="G154">
        <v>6.1</v>
      </c>
      <c r="H154">
        <v>6.8</v>
      </c>
      <c r="I154" s="1">
        <v>2534</v>
      </c>
      <c r="J154">
        <v>39348</v>
      </c>
      <c r="K154" t="s">
        <v>33</v>
      </c>
      <c r="L154" t="s">
        <v>39</v>
      </c>
      <c r="M154" t="s">
        <v>39</v>
      </c>
      <c r="N154">
        <v>20240000</v>
      </c>
      <c r="O154" t="s">
        <v>27</v>
      </c>
    </row>
    <row r="155" spans="1:15" x14ac:dyDescent="0.35">
      <c r="A155" t="s">
        <v>21</v>
      </c>
      <c r="B155" t="s">
        <v>22</v>
      </c>
      <c r="C155" t="s">
        <v>156</v>
      </c>
      <c r="D155" t="s">
        <v>25</v>
      </c>
      <c r="E155" t="s">
        <v>32</v>
      </c>
      <c r="F155">
        <v>5.2</v>
      </c>
      <c r="G155">
        <v>4.9000000000000004</v>
      </c>
      <c r="H155">
        <v>5.5</v>
      </c>
      <c r="I155" s="1">
        <v>2015</v>
      </c>
      <c r="J155">
        <v>38935</v>
      </c>
      <c r="K155" t="s">
        <v>33</v>
      </c>
      <c r="L155" t="s">
        <v>39</v>
      </c>
      <c r="M155" t="s">
        <v>39</v>
      </c>
      <c r="N155">
        <v>20240000</v>
      </c>
      <c r="O155" t="s">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86D0-4993-4F46-AF6E-CA26A909364B}">
  <dimension ref="A1:M9"/>
  <sheetViews>
    <sheetView workbookViewId="0">
      <selection activeCell="G6" sqref="G6"/>
    </sheetView>
  </sheetViews>
  <sheetFormatPr defaultRowHeight="14.5" x14ac:dyDescent="0.35"/>
  <sheetData>
    <row r="1" spans="1:13" x14ac:dyDescent="0.35">
      <c r="A1" t="s">
        <v>1</v>
      </c>
      <c r="B1" t="s">
        <v>4</v>
      </c>
      <c r="C1" t="s">
        <v>5</v>
      </c>
      <c r="D1" t="s">
        <v>6</v>
      </c>
      <c r="E1" t="s">
        <v>7</v>
      </c>
      <c r="F1" t="s">
        <v>8</v>
      </c>
      <c r="G1" t="s">
        <v>9</v>
      </c>
      <c r="H1" t="s">
        <v>10</v>
      </c>
      <c r="I1" t="s">
        <v>11</v>
      </c>
      <c r="J1" t="s">
        <v>14</v>
      </c>
      <c r="K1" t="s">
        <v>15</v>
      </c>
      <c r="L1" t="s">
        <v>19</v>
      </c>
      <c r="M1" t="s">
        <v>20</v>
      </c>
    </row>
    <row r="2" spans="1:13" x14ac:dyDescent="0.35">
      <c r="A2" t="s">
        <v>21</v>
      </c>
      <c r="B2" t="s">
        <v>23</v>
      </c>
      <c r="C2" t="s">
        <v>23</v>
      </c>
      <c r="D2" t="s">
        <v>24</v>
      </c>
      <c r="E2" t="s">
        <v>25</v>
      </c>
      <c r="F2" t="s">
        <v>26</v>
      </c>
      <c r="G2">
        <v>19.7</v>
      </c>
      <c r="H2">
        <v>19.7</v>
      </c>
      <c r="I2">
        <v>19.7</v>
      </c>
      <c r="J2">
        <v>2063261</v>
      </c>
      <c r="K2">
        <v>10467816</v>
      </c>
      <c r="L2">
        <v>20210000</v>
      </c>
      <c r="M2" t="s">
        <v>27</v>
      </c>
    </row>
    <row r="3" spans="1:13" x14ac:dyDescent="0.35">
      <c r="A3" t="s">
        <v>21</v>
      </c>
      <c r="B3" t="s">
        <v>28</v>
      </c>
      <c r="C3" t="s">
        <v>29</v>
      </c>
      <c r="D3" t="s">
        <v>24</v>
      </c>
      <c r="E3" t="s">
        <v>25</v>
      </c>
      <c r="F3" t="s">
        <v>26</v>
      </c>
      <c r="G3">
        <v>15.6</v>
      </c>
      <c r="H3">
        <v>15.2</v>
      </c>
      <c r="I3">
        <v>16</v>
      </c>
      <c r="J3">
        <v>9631</v>
      </c>
      <c r="K3">
        <v>61623</v>
      </c>
      <c r="L3">
        <v>20210000</v>
      </c>
      <c r="M3" t="s">
        <v>27</v>
      </c>
    </row>
    <row r="4" spans="1:13" x14ac:dyDescent="0.35">
      <c r="A4" t="s">
        <v>21</v>
      </c>
      <c r="B4" t="s">
        <v>23</v>
      </c>
      <c r="C4" t="s">
        <v>23</v>
      </c>
      <c r="D4" t="s">
        <v>24</v>
      </c>
      <c r="E4" t="s">
        <v>25</v>
      </c>
      <c r="F4" t="s">
        <v>30</v>
      </c>
      <c r="G4">
        <v>21.9</v>
      </c>
      <c r="H4">
        <v>21.9</v>
      </c>
      <c r="I4">
        <v>21.9</v>
      </c>
      <c r="J4">
        <v>2316688</v>
      </c>
      <c r="K4">
        <v>10581013</v>
      </c>
      <c r="L4">
        <v>20220000</v>
      </c>
      <c r="M4" t="s">
        <v>27</v>
      </c>
    </row>
    <row r="5" spans="1:13" x14ac:dyDescent="0.35">
      <c r="A5" t="s">
        <v>21</v>
      </c>
      <c r="B5" t="s">
        <v>28</v>
      </c>
      <c r="C5" t="s">
        <v>29</v>
      </c>
      <c r="D5" t="s">
        <v>24</v>
      </c>
      <c r="E5" t="s">
        <v>25</v>
      </c>
      <c r="F5" t="s">
        <v>30</v>
      </c>
      <c r="G5">
        <v>17.8</v>
      </c>
      <c r="H5">
        <v>17.3</v>
      </c>
      <c r="I5">
        <v>18.2</v>
      </c>
      <c r="J5">
        <v>11094</v>
      </c>
      <c r="K5">
        <v>62433</v>
      </c>
      <c r="L5">
        <v>20220000</v>
      </c>
      <c r="M5" t="s">
        <v>27</v>
      </c>
    </row>
    <row r="6" spans="1:13" x14ac:dyDescent="0.35">
      <c r="A6" t="s">
        <v>21</v>
      </c>
      <c r="B6" t="s">
        <v>23</v>
      </c>
      <c r="C6" t="s">
        <v>23</v>
      </c>
      <c r="D6" t="s">
        <v>24</v>
      </c>
      <c r="E6" t="s">
        <v>25</v>
      </c>
      <c r="F6" t="s">
        <v>31</v>
      </c>
      <c r="G6">
        <v>21.1</v>
      </c>
      <c r="H6">
        <v>21.1</v>
      </c>
      <c r="I6">
        <v>21.2</v>
      </c>
      <c r="J6">
        <v>2262910</v>
      </c>
      <c r="K6">
        <v>10703266</v>
      </c>
      <c r="L6">
        <v>20230000</v>
      </c>
      <c r="M6" t="s">
        <v>27</v>
      </c>
    </row>
    <row r="7" spans="1:13" x14ac:dyDescent="0.35">
      <c r="A7" t="s">
        <v>21</v>
      </c>
      <c r="B7" t="s">
        <v>28</v>
      </c>
      <c r="C7" t="s">
        <v>29</v>
      </c>
      <c r="D7" t="s">
        <v>24</v>
      </c>
      <c r="E7" t="s">
        <v>25</v>
      </c>
      <c r="F7" t="s">
        <v>31</v>
      </c>
      <c r="G7">
        <v>16.7</v>
      </c>
      <c r="H7">
        <v>16.3</v>
      </c>
      <c r="I7">
        <v>17.100000000000001</v>
      </c>
      <c r="J7">
        <v>10535</v>
      </c>
      <c r="K7">
        <v>63087</v>
      </c>
      <c r="L7">
        <v>20230000</v>
      </c>
      <c r="M7" t="s">
        <v>27</v>
      </c>
    </row>
    <row r="8" spans="1:13" x14ac:dyDescent="0.35">
      <c r="A8" t="s">
        <v>21</v>
      </c>
      <c r="B8" t="s">
        <v>23</v>
      </c>
      <c r="C8" t="s">
        <v>23</v>
      </c>
      <c r="D8" t="s">
        <v>24</v>
      </c>
      <c r="E8" t="s">
        <v>25</v>
      </c>
      <c r="F8" t="s">
        <v>32</v>
      </c>
      <c r="G8">
        <v>19.8</v>
      </c>
      <c r="H8">
        <v>19.8</v>
      </c>
      <c r="I8">
        <v>19.8</v>
      </c>
      <c r="J8">
        <v>2130679</v>
      </c>
      <c r="K8">
        <v>10768248</v>
      </c>
      <c r="L8">
        <v>20240000</v>
      </c>
      <c r="M8" t="s">
        <v>27</v>
      </c>
    </row>
    <row r="9" spans="1:13" x14ac:dyDescent="0.35">
      <c r="A9" t="s">
        <v>21</v>
      </c>
      <c r="B9" t="s">
        <v>28</v>
      </c>
      <c r="C9" t="s">
        <v>29</v>
      </c>
      <c r="D9" t="s">
        <v>24</v>
      </c>
      <c r="E9" t="s">
        <v>25</v>
      </c>
      <c r="F9" t="s">
        <v>32</v>
      </c>
      <c r="G9">
        <v>15.1</v>
      </c>
      <c r="H9">
        <v>14.7</v>
      </c>
      <c r="I9">
        <v>15.5</v>
      </c>
      <c r="J9">
        <v>9524</v>
      </c>
      <c r="K9">
        <v>63122</v>
      </c>
      <c r="L9">
        <v>20240000</v>
      </c>
      <c r="M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Project_Brief</vt:lpstr>
      <vt:lpstr>Analysis_sheet</vt:lpstr>
      <vt:lpstr>c_cheshire_vs_england_B02a</vt:lpstr>
      <vt:lpstr>C_area_comparison_B02a</vt:lpstr>
      <vt:lpstr>C_area_comparison_B01b</vt:lpstr>
      <vt:lpstr>C_cheshire_vs_England_B01b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Max Ambe</cp:lastModifiedBy>
  <cp:revision/>
  <dcterms:created xsi:type="dcterms:W3CDTF">2026-09-21T17:02:27Z</dcterms:created>
  <dcterms:modified xsi:type="dcterms:W3CDTF">2026-10-27T18:00:17Z</dcterms:modified>
  <cp:category/>
  <cp:contentStatus/>
</cp:coreProperties>
</file>